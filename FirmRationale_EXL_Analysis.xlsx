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spect Rationale" sheetId="1" state="visible" r:id="rId3"/>
    <sheet name="Value-Chain Capability Map" sheetId="2" state="visible" r:id="rId4"/>
    <sheet name="Tiering &amp; Methodology" sheetId="3" state="visible" r:id="rId5"/>
  </sheets>
  <definedNames>
    <definedName function="false" hidden="true" localSheetId="0" name="_xlnm._FilterDatabase" vbProcedure="false">'Prospect Rationale'!$A$3:$I$102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<sst xmlns="http://schemas.openxmlformats.org/spreadsheetml/2006/main" count="886" uniqueCount="734">
  <si>
    <t xml:space="preserve">EXL Manufacturing &amp; Supply-Chain Analytics  |  Prospect Rationale &amp; Value-Chain Fit</t>
  </si>
  <si>
    <t xml:space="preserve">Scope: manufacturing analytics, supply-chain analytics, F&amp;A/SCM ops, IoT &amp; telematics.  Priority = fit for EXL (analytics spend potential x addressability x offshore-deliverability).  Validate financials, ownership and M&amp;A status against latest filings before outreach.</t>
  </si>
  <si>
    <t xml:space="preserve">#</t>
  </si>
  <si>
    <t xml:space="preserve">Firm</t>
  </si>
  <si>
    <t xml:space="preserve">Sector Cluster</t>
  </si>
  <si>
    <t xml:space="preserve">Sub-Segment / Notes</t>
  </si>
  <si>
    <t xml:space="preserve">Ticker</t>
  </si>
  <si>
    <t xml:space="preserve">Why EXL Should Pursue</t>
  </si>
  <si>
    <t xml:space="preserve">Watch-outs / Why Not</t>
  </si>
  <si>
    <t xml:space="preserve">Priority</t>
  </si>
  <si>
    <t xml:space="preserve">Best-Fit Value-Chain Plays (Procurement -&gt; Aftersales)</t>
  </si>
  <si>
    <t xml:space="preserve">Aptiv</t>
  </si>
  <si>
    <t xml:space="preserve">Automotive &amp; Mobility</t>
  </si>
  <si>
    <t xml:space="preserve">Tier-1 supplier: electrical arch, ADAS, SDV software</t>
  </si>
  <si>
    <t xml:space="preserve">APTV</t>
  </si>
  <si>
    <t xml:space="preserve">Large (~$20B) global Tier-1 with high-volume plants, deep multi-tier BOMs, rich warranty/quality data and a software-defined-vehicle push. Multiple natural entry points across quality, supplier risk and connected-vehicle data.</t>
  </si>
  <si>
    <t xml:space="preserve">Mature internal data-science and entrenched engineering partners; enterprise-level displacement is hard. Win via a specific plant/program/function, not a top-down deal.</t>
  </si>
  <si>
    <t xml:space="preserve">High</t>
  </si>
  <si>
    <t xml:space="preserve">Supplier risk &amp; should-cost (Procurement); SPC/yield &amp; test-data analytics (Mfg/Quality); multi-tier shortage prediction (SCM); warranty &amp; field-failure analytics (Aftersales); F&amp;A close automation</t>
  </si>
  <si>
    <t xml:space="preserve">CarMax</t>
  </si>
  <si>
    <t xml:space="preserve">Auto Retail</t>
  </si>
  <si>
    <t xml:space="preserve">Used-car omnichannel retailer</t>
  </si>
  <si>
    <t xml:space="preserve">KMX</t>
  </si>
  <si>
    <t xml:space="preserve">Massive transactional, pricing and reconditioning datasets; strong fit for pricing science, demand forecasting, reconditioning throughput and F&amp;A/collections BPO.</t>
  </si>
  <si>
    <t xml:space="preserve">This is retail / consumer-digital, NOT manufacturing — off the core thesis. Already analytics-mature with a large internal team.</t>
  </si>
  <si>
    <t xml:space="preserve">Medium</t>
  </si>
  <si>
    <t xml:space="preserve">Vehicle appraisal &amp; dynamic pricing; reconditioning ops analytics; contact-centre &amp; collections BPO; F&amp;A ops</t>
  </si>
  <si>
    <t xml:space="preserve">Openlane (KAR)</t>
  </si>
  <si>
    <t xml:space="preserve">Auto Retail / Wholesale</t>
  </si>
  <si>
    <t xml:space="preserve">Digital wholesale auction (fmr KAR Global) + AFC floorplan finance</t>
  </si>
  <si>
    <t xml:space="preserve">KAR</t>
  </si>
  <si>
    <t xml:space="preserve">Wholesale marketplace plus floorplan lending = rich pricing, fraud and credit-risk analytics; solid F&amp;A and marketplace-optimisation fit.</t>
  </si>
  <si>
    <t xml:space="preserve">Marketplace / fintech, not manufacturing; narrower industrial footprint and off-thesis for the mfg practice.</t>
  </si>
  <si>
    <t xml:space="preserve">Auction pricing &amp; recovery optimisation; floorplan credit risk; fraud analytics; F&amp;A / collections</t>
  </si>
  <si>
    <t xml:space="preserve">CarGurus</t>
  </si>
  <si>
    <t xml:space="preserve">Auto Retail / Martech</t>
  </si>
  <si>
    <t xml:space="preserve">Auto marketplace &amp; listings platform</t>
  </si>
  <si>
    <t xml:space="preserve">CARG</t>
  </si>
  <si>
    <t xml:space="preserve">Digital-marketing, listing-quality and dealer-analytics data; a martech/MMM play.</t>
  </si>
  <si>
    <t xml:space="preserve">Pure consumer-digital/martech, small, and off-thesis for manufacturing/SCM.</t>
  </si>
  <si>
    <t xml:space="preserve">Low</t>
  </si>
  <si>
    <t xml:space="preserve">Marketing-mix &amp; lead scoring; dealer performance analytics; F&amp;A</t>
  </si>
  <si>
    <t xml:space="preserve">Cars.com</t>
  </si>
  <si>
    <t xml:space="preserve">CARS</t>
  </si>
  <si>
    <t xml:space="preserve">Marketplace and dealer-marketing data; potential martech/analytics BPO.</t>
  </si>
  <si>
    <t xml:space="preserve">Consumer-digital/martech, sub-scale for a large engagement, off-thesis.</t>
  </si>
  <si>
    <t xml:space="preserve">Marketing-mix &amp; lead scoring; dealer analytics; F&amp;A</t>
  </si>
  <si>
    <t xml:space="preserve">Dorman Products</t>
  </si>
  <si>
    <t xml:space="preserve">Automotive Aftermarket</t>
  </si>
  <si>
    <t xml:space="preserve">Aftermarket auto-parts supplier (100k+ SKUs)</t>
  </si>
  <si>
    <t xml:space="preserve">DORM</t>
  </si>
  <si>
    <t xml:space="preserve">Aftermarket-parts leader with a huge SKU catalogue and constant new-part-number introductions — a classic demand-planning, assortment and coverage-analytics fit.</t>
  </si>
  <si>
    <t xml:space="preserve">Mid-cap (~$2B), lean organisation; may lack budget for a large transformation programme.</t>
  </si>
  <si>
    <t xml:space="preserve">Assortment/coverage analytics &amp; new-part prioritisation (Procurement/NPI); demand forecasting &amp; inventory (SCM); returns/warranty analytics (Aftersales); F&amp;A</t>
  </si>
  <si>
    <t xml:space="preserve">ChargePoint</t>
  </si>
  <si>
    <t xml:space="preserve">EV Infrastructure</t>
  </si>
  <si>
    <t xml:space="preserve">EV charging network (hardware + SaaS)</t>
  </si>
  <si>
    <t xml:space="preserve">CHPT</t>
  </si>
  <si>
    <t xml:space="preserve">Connected charging hardware plus network telemetry = strong IoT, uptime and predictive-maintenance play, plus subscription/billing analytics.</t>
  </si>
  <si>
    <t xml:space="preserve">Loss-making, cash-constrained small-cap; discretionary analytics spend is tight.</t>
  </si>
  <si>
    <t xml:space="preserve">Station uptime &amp; predictive maintenance (IoT); network-utilisation forecasting; billing/revenue assurance (F&amp;A); field-service optimisation</t>
  </si>
  <si>
    <t xml:space="preserve">Cerence</t>
  </si>
  <si>
    <t xml:space="preserve">Automotive Software</t>
  </si>
  <si>
    <t xml:space="preserve">In-car conversational/voice AI</t>
  </si>
  <si>
    <t xml:space="preserve">CRNC</t>
  </si>
  <si>
    <t xml:space="preserve">Automotive voice-AI supplier; possible GenAI/LLM co-development angle.</t>
  </si>
  <si>
    <t xml:space="preserve">Small-cap under financial pressure; a product company with its own AI R&amp;D — little room for a vendor analytics practice.</t>
  </si>
  <si>
    <t xml:space="preserve">GenAI evaluation/ops (niche); limited SCM</t>
  </si>
  <si>
    <t xml:space="preserve">Luminar Technologies</t>
  </si>
  <si>
    <t xml:space="preserve">Automotive Sensors</t>
  </si>
  <si>
    <t xml:space="preserve">LiDAR for ADAS</t>
  </si>
  <si>
    <t xml:space="preserve">LAZR</t>
  </si>
  <si>
    <t xml:space="preserve">Ramping sensor manufacturing (test/yield analytics) plus sensor data streams.</t>
  </si>
  <si>
    <t xml:space="preserve">Pre-scale, cash-burning small-cap; manufacturing still maturing and volatile.</t>
  </si>
  <si>
    <t xml:space="preserve">Test/yield analytics as production scales; supplier analytics</t>
  </si>
  <si>
    <t xml:space="preserve">Ouster</t>
  </si>
  <si>
    <t xml:space="preserve">Automotive / Industrial Sensors</t>
  </si>
  <si>
    <t xml:space="preserve">Digital LiDAR</t>
  </si>
  <si>
    <t xml:space="preserve">OUST</t>
  </si>
  <si>
    <t xml:space="preserve">Digital-LiDAR maker; sensor manufacturing plus point-cloud data.</t>
  </si>
  <si>
    <t xml:space="preserve">Small-cap, thin budgets, still scaling volume.</t>
  </si>
  <si>
    <t xml:space="preserve">Yield/test analytics; field-reliability analytics</t>
  </si>
  <si>
    <t xml:space="preserve">Boeing</t>
  </si>
  <si>
    <t xml:space="preserve">Aerospace &amp; Defense</t>
  </si>
  <si>
    <t xml:space="preserve">Commercial &amp; defense airframer OEM</t>
  </si>
  <si>
    <t xml:space="preserve">BA</t>
  </si>
  <si>
    <t xml:space="preserve">Enormous, complex multi-tier supply chain, an acute quality/traceability agenda, and a vast MRO/aftermarket — the ultimate prize for supply-chain and quality analytics with deep pockets.</t>
  </si>
  <si>
    <t xml:space="preserve">Massive captive teams plus entrenched SIs (Accenture, Palantir, Deloitte); ITAR/CUI restricts offshore delivery; notoriously long sales cycles.</t>
  </si>
  <si>
    <t xml:space="preserve">Supplier quality &amp; nonconformance analytics; multi-tier shortage prediction (SCM); MRO/aftermarket parts forecasting; F&amp;A shared services (onshore-heavy)</t>
  </si>
  <si>
    <t xml:space="preserve">GE Aerospace</t>
  </si>
  <si>
    <t xml:space="preserve">Jet-engine OEM + services</t>
  </si>
  <si>
    <t xml:space="preserve">GE</t>
  </si>
  <si>
    <t xml:space="preserve">Power-by-the-hour servitisation makes this a gold-standard IoT / predictive-maintenance and aftermarket-analytics account with a huge installed base.</t>
  </si>
  <si>
    <t xml:space="preserve">Pioneer of industrial analytics (Predix legacy) with deep internal capability; ITAR; incumbent-heavy.</t>
  </si>
  <si>
    <t xml:space="preserve">Engine health &amp; remaining-useful-life prediction (IoT); shop-visit &amp; spares forecasting (Aftersales); supplier risk; contract-margin analytics</t>
  </si>
  <si>
    <t xml:space="preserve">VSE Corporation</t>
  </si>
  <si>
    <t xml:space="preserve">Aviation aftermarket distribution &amp; MRO</t>
  </si>
  <si>
    <t xml:space="preserve">VSEC</t>
  </si>
  <si>
    <t xml:space="preserve">Pure aviation-aftermarket distribution + MRO — the sweet spot for inventory optimisation, demand forecasting and fill-rate analytics.</t>
  </si>
  <si>
    <t xml:space="preserve">Mid-cap; some government/defense exposure adds compliance overhead.</t>
  </si>
  <si>
    <t xml:space="preserve">Parts demand &amp; inventory (SCM); pricing &amp; fill-rate; repair turn-time analytics (Aftersales); F&amp;A</t>
  </si>
  <si>
    <t xml:space="preserve">Elbit Systems of America</t>
  </si>
  <si>
    <t xml:space="preserve">Defense</t>
  </si>
  <si>
    <t xml:space="preserve">US defense electronics (sub of Elbit Israel)</t>
  </si>
  <si>
    <t xml:space="preserve">ESLT</t>
  </si>
  <si>
    <t xml:space="preserve">Defense-electronics manufacturing with quality/yield analytics potential.</t>
  </si>
  <si>
    <t xml:space="preserve">ITAR/CUI plus foreign-parent security scrutiny effectively blocks offshore delivery; needs cleared onshore staff — poor fit for EXL's India-centric model.</t>
  </si>
  <si>
    <t xml:space="preserve">Onshore-only quality/supply analytics (delivery-model mismatch)</t>
  </si>
  <si>
    <t xml:space="preserve">AeroVironment</t>
  </si>
  <si>
    <t xml:space="preserve">Drones/UAS &amp; loitering munitions</t>
  </si>
  <si>
    <t xml:space="preserve">AVAV</t>
  </si>
  <si>
    <t xml:space="preserve">Fast-growing UAS maker scaling production; yield, supply and fleet-telemetry data.</t>
  </si>
  <si>
    <t xml:space="preserve">ITAR-heavy with classified programs; onshore-delivery constraint.</t>
  </si>
  <si>
    <t xml:space="preserve">Onshore production/yield &amp; supplier analytics; fleet telemetry</t>
  </si>
  <si>
    <t xml:space="preserve">ATI Inc (Allegheny Technologies)</t>
  </si>
  <si>
    <t xml:space="preserve">A&amp;D Materials</t>
  </si>
  <si>
    <t xml:space="preserve">Specialty metals (Ti, superalloys) for aero</t>
  </si>
  <si>
    <t xml:space="preserve">ATI</t>
  </si>
  <si>
    <t xml:space="preserve">Specialty-alloy producer with melt/forge process data and an aero-demand tailwind — strong fit for process yield, energy and quality analytics.</t>
  </si>
  <si>
    <t xml:space="preserve">Cyclical and capital-intensive; some defense/ITAR-controlled material.</t>
  </si>
  <si>
    <t xml:space="preserve">Melt/forge yield &amp; scrap analytics (Mfg); energy optimisation; order-to-delivery (SCM); demand forecasting</t>
  </si>
  <si>
    <t xml:space="preserve">AerSale Corporation</t>
  </si>
  <si>
    <t xml:space="preserve">A&amp;D Aftermarket</t>
  </si>
  <si>
    <t xml:space="preserve">Used-aircraft/engine MRO &amp; USM parts</t>
  </si>
  <si>
    <t xml:space="preserve">ASLE</t>
  </si>
  <si>
    <t xml:space="preserve">Aftermarket parts and MRO — inventory, part-out valuation and demand analytics.</t>
  </si>
  <si>
    <t xml:space="preserve">Small-cap with lumpy, deal-driven revenue.</t>
  </si>
  <si>
    <t xml:space="preserve">Part-out/teardown valuation; USM inventory optimisation; MRO turn-time</t>
  </si>
  <si>
    <t xml:space="preserve">Red Cat Holdings</t>
  </si>
  <si>
    <t xml:space="preserve">Small military drone maker</t>
  </si>
  <si>
    <t xml:space="preserve">RCAT</t>
  </si>
  <si>
    <t xml:space="preserve">Emerging defense-drone play in a hot segment.</t>
  </si>
  <si>
    <t xml:space="preserve">Micro-cap, unprofitable, ITAR-bound; far too small for a material engagement today.</t>
  </si>
  <si>
    <t xml:space="preserve">Watch only</t>
  </si>
  <si>
    <t xml:space="preserve">Vishay Precision Group (Aero segment)</t>
  </si>
  <si>
    <t xml:space="preserve">Industrial Sensors</t>
  </si>
  <si>
    <t xml:space="preserve">Precision sensors &amp; weighing</t>
  </si>
  <si>
    <t xml:space="preserve">VPG</t>
  </si>
  <si>
    <t xml:space="preserve">Precision-sensor manufacturing plus measurement data.</t>
  </si>
  <si>
    <t xml:space="preserve">Small-cap and niche; limited spend.</t>
  </si>
  <si>
    <t xml:space="preserve">Test/yield analytics (niche)</t>
  </si>
  <si>
    <t xml:space="preserve">Innoviz Technologies</t>
  </si>
  <si>
    <t xml:space="preserve">Automotive / Defense Sensors</t>
  </si>
  <si>
    <t xml:space="preserve">LiDAR (Israel-based)</t>
  </si>
  <si>
    <t xml:space="preserve">INVZ</t>
  </si>
  <si>
    <t xml:space="preserve">LiDAR maker with sensor manufacturing and data.</t>
  </si>
  <si>
    <t xml:space="preserve">Micro-cap, cash-burning, high dilution/acquisition risk.</t>
  </si>
  <si>
    <t xml:space="preserve">Wabtec</t>
  </si>
  <si>
    <t xml:space="preserve">Rail</t>
  </si>
  <si>
    <t xml:space="preserve">Locomotive &amp; rail-equipment OEM + digital</t>
  </si>
  <si>
    <t xml:space="preserve">WAB</t>
  </si>
  <si>
    <t xml:space="preserve">Locomotive OEM with a strong servitisation/digital arm; excellent fit for asset-health/IoT, fuel optimisation, parts and MRO analytics. Large and profitable.</t>
  </si>
  <si>
    <t xml:space="preserve">Operates its own Digital Intelligence business — coopetition and some captive capability.</t>
  </si>
  <si>
    <t xml:space="preserve">Loco health &amp; predictive maintenance (IoT); fuel &amp; network optimisation; parts demand (Aftersales); supplier &amp; F&amp;A</t>
  </si>
  <si>
    <t xml:space="preserve">Siemens Mobility (US Ops)</t>
  </si>
  <si>
    <t xml:space="preserve">Rolling stock &amp; rail infra (Siemens sub)</t>
  </si>
  <si>
    <t xml:space="preserve">SIE</t>
  </si>
  <si>
    <t xml:space="preserve">Large rolling-stock and signaling installed base; RCM/predictive-maintenance and spares analytics.</t>
  </si>
  <si>
    <t xml:space="preserve">Global parent with strong internal digital (Railigent); key decisions may sit in Germany.</t>
  </si>
  <si>
    <t xml:space="preserve">Fleet RCM/IoT; spares &amp; depot optimisation; project analytics</t>
  </si>
  <si>
    <t xml:space="preserve">Amsted Rail</t>
  </si>
  <si>
    <t xml:space="preserve">Freight-car components (bearings, trucks) + onboard sensors</t>
  </si>
  <si>
    <t xml:space="preserve">(Private)</t>
  </si>
  <si>
    <t xml:space="preserve">Rail-component leader with a growing onboard-sensor / railcar-telematics business — a strong IoT / predictive-maintenance fit.</t>
  </si>
  <si>
    <t xml:space="preserve">Privately held (limited disclosure); mid-size budget.</t>
  </si>
  <si>
    <t xml:space="preserve">Railcar telematics &amp; bearing-health (IoT); mfg yield; demand forecasting; aftermarket</t>
  </si>
  <si>
    <t xml:space="preserve">Genesee &amp; Wyoming</t>
  </si>
  <si>
    <t xml:space="preserve">Rail Operator</t>
  </si>
  <si>
    <t xml:space="preserve">Short-line railroad operator (100+ lines)</t>
  </si>
  <si>
    <t xml:space="preserve">(Private - Brookfield/GIC)</t>
  </si>
  <si>
    <t xml:space="preserve">A large short-line portfolio generating rich operations, asset, fuel and safety data — strong for network optimisation, asset predictive maintenance and F&amp;A.</t>
  </si>
  <si>
    <t xml:space="preserve">PE-owned (cost discipline); an operator rather than an OEM.</t>
  </si>
  <si>
    <t xml:space="preserve">Network &amp; car-flow optimisation; locomotive &amp; track predictive maintenance; fuel analytics; F&amp;A ops</t>
  </si>
  <si>
    <t xml:space="preserve">Loram Maintenance of Way</t>
  </si>
  <si>
    <t xml:space="preserve">Rail Services</t>
  </si>
  <si>
    <t xml:space="preserve">Track-maintenance equipment &amp; services</t>
  </si>
  <si>
    <t xml:space="preserve">Track-inspection and maintenance data (rail grinding, geometry) enabling predictive track-health analytics.</t>
  </si>
  <si>
    <t xml:space="preserve">Private, mid-size and niche.</t>
  </si>
  <si>
    <t xml:space="preserve">Track-defect prediction (IoT/vision); fleet utilisation; service scheduling</t>
  </si>
  <si>
    <t xml:space="preserve">Watco Companies</t>
  </si>
  <si>
    <t xml:space="preserve">Rail / Logistics</t>
  </si>
  <si>
    <t xml:space="preserve">Short-line rail + terminals &amp; transloading</t>
  </si>
  <si>
    <t xml:space="preserve">Rail plus port/terminal and transloading operations = broad SCM/logistics analytics and asset-utilisation upside.</t>
  </si>
  <si>
    <t xml:space="preserve">Private and diversified/complex to navigate.</t>
  </si>
  <si>
    <t xml:space="preserve">Terminal &amp; network optimisation; asset maintenance; freight analytics; F&amp;A</t>
  </si>
  <si>
    <t xml:space="preserve">Nordco (part of Wabtec)</t>
  </si>
  <si>
    <t xml:space="preserve">MOW equipment (now inside Wabtec)</t>
  </si>
  <si>
    <t xml:space="preserve">Maintenance-of-way equipment maker.</t>
  </si>
  <si>
    <t xml:space="preserve">Already absorbed into Wabtec — engage through Wabtec, not as a standalone target.</t>
  </si>
  <si>
    <t xml:space="preserve">Route via Wabtec (redundant standalone)</t>
  </si>
  <si>
    <t xml:space="preserve">Harsco Rail (Enviri)</t>
  </si>
  <si>
    <t xml:space="preserve">Track-maintenance equipment &amp; services (Enviri segment)</t>
  </si>
  <si>
    <t xml:space="preserve">NVRI</t>
  </si>
  <si>
    <t xml:space="preserve">MOW/track equipment plus services with track-health analytics potential.</t>
  </si>
  <si>
    <t xml:space="preserve">Parent Enviri is leveraged and restructuring; the segment may be divested.</t>
  </si>
  <si>
    <t xml:space="preserve">Track-health &amp; service analytics; parts</t>
  </si>
  <si>
    <t xml:space="preserve">Portec Rail Products</t>
  </si>
  <si>
    <t xml:space="preserve">Rail friction &amp; joint products</t>
  </si>
  <si>
    <t xml:space="preserve">(Small/Private)</t>
  </si>
  <si>
    <t xml:space="preserve">Niche rail-component supplier.</t>
  </si>
  <si>
    <t xml:space="preserve">Very small and niche; minimal analytics budget.</t>
  </si>
  <si>
    <t xml:space="preserve">Vossloh (US Ops)</t>
  </si>
  <si>
    <t xml:space="preserve">Rail fastening &amp; infrastructure (German Vossloh)</t>
  </si>
  <si>
    <t xml:space="preserve">VOS</t>
  </si>
  <si>
    <t xml:space="preserve">Rail-infrastructure components with some US manufacturing.</t>
  </si>
  <si>
    <t xml:space="preserve">Decisions sit in Germany; US operations are modest.</t>
  </si>
  <si>
    <t xml:space="preserve">Niche mfg/SCM analytics</t>
  </si>
  <si>
    <t xml:space="preserve">Brunswick Corporation</t>
  </si>
  <si>
    <t xml:space="preserve">Marine</t>
  </si>
  <si>
    <t xml:space="preserve">Recreational boats &amp; Mercury Marine engines + parts</t>
  </si>
  <si>
    <t xml:space="preserve">BC</t>
  </si>
  <si>
    <t xml:space="preserve">Leading marine OEM (engines + boats + a large parts business + ACES connected-boat) — strong across quality/warranty, dealer demand, connected-boat IoT and aftermarket.</t>
  </si>
  <si>
    <t xml:space="preserve">Discretionary-consumer cyclicality; relatively mature analytics org.</t>
  </si>
  <si>
    <t xml:space="preserve">Engine/boat quality &amp; warranty; dealer demand &amp; inventory; connected-boat telematics (IoT); parts aftermarket; F&amp;A</t>
  </si>
  <si>
    <t xml:space="preserve">Wartsila North America</t>
  </si>
  <si>
    <t xml:space="preserve">Marine engines &amp; power systems (Finnish Wartsila)</t>
  </si>
  <si>
    <t xml:space="preserve">WRT1V</t>
  </si>
  <si>
    <t xml:space="preserve">Marine power with strong lifecycle/servitisation; predictive-maintenance and voyage-optimisation fit.</t>
  </si>
  <si>
    <t xml:space="preserve">Parent-led digital (Wartsila Voyage); decisions sit in Finland.</t>
  </si>
  <si>
    <t xml:space="preserve">Engine health (IoT); voyage &amp; fuel optimisation; spares; service contracts</t>
  </si>
  <si>
    <t xml:space="preserve">BAE Systems Ship Repair (US)</t>
  </si>
  <si>
    <t xml:space="preserve">Defense Marine</t>
  </si>
  <si>
    <t xml:space="preserve">US Navy ship repair</t>
  </si>
  <si>
    <t xml:space="preserve">BA.L</t>
  </si>
  <si>
    <t xml:space="preserve">Ship-repair/MRO scheduling and supply-analytics opportunity.</t>
  </si>
  <si>
    <t xml:space="preserve">Navy work = ITAR/CUI, cleared-facility and onshore-only delivery.</t>
  </si>
  <si>
    <t xml:space="preserve">Onshore repair-scheduling &amp; supply analytics (delivery mismatch)</t>
  </si>
  <si>
    <t xml:space="preserve">Chart Industries - Marine LNG</t>
  </si>
  <si>
    <t xml:space="preserve">Industrial / Energy</t>
  </si>
  <si>
    <t xml:space="preserve">Cryogenic &amp; LNG equipment</t>
  </si>
  <si>
    <t xml:space="preserve">GTLS</t>
  </si>
  <si>
    <t xml:space="preserve">LNG/cryogenic-equipment maker riding energy-transition demand; manufacturing-process, project and aftermarket-service analytics.</t>
  </si>
  <si>
    <t xml:space="preserve">Project-driven revenue lumpiness; post-Howden integration.</t>
  </si>
  <si>
    <t xml:space="preserve">Project &amp; engineering analytics; mfg throughput; aftermarket service on installed base (IoT); SCM</t>
  </si>
  <si>
    <t xml:space="preserve">Fairbanks Morse Defense (Arcline)</t>
  </si>
  <si>
    <t xml:space="preserve">Naval propulsion &amp; engines (PE-owned)</t>
  </si>
  <si>
    <t xml:space="preserve">(Private - Arcline)</t>
  </si>
  <si>
    <t xml:space="preserve">Naval-propulsion manufacturing plus aftermarket.</t>
  </si>
  <si>
    <t xml:space="preserve">Defense/ITAR, PE-owned, onshore delivery required.</t>
  </si>
  <si>
    <t xml:space="preserve">Onshore mfg/aftermarket analytics</t>
  </si>
  <si>
    <t xml:space="preserve">Austal USA</t>
  </si>
  <si>
    <t xml:space="preserve">US Navy shipbuilder</t>
  </si>
  <si>
    <t xml:space="preserve">ASB.AX</t>
  </si>
  <si>
    <t xml:space="preserve">Shipyard production analytics — schedule, cost and supply.</t>
  </si>
  <si>
    <t xml:space="preserve">Navy shipbuilding = ITAR/cleared-facility, onshore only.</t>
  </si>
  <si>
    <t xml:space="preserve">Onshore shipyard &amp; SCM analytics</t>
  </si>
  <si>
    <t xml:space="preserve">KVH Industries</t>
  </si>
  <si>
    <t xml:space="preserve">Marine Connectivity</t>
  </si>
  <si>
    <t xml:space="preserve">Maritime satcom / vessel IoT</t>
  </si>
  <si>
    <t xml:space="preserve">KVHI</t>
  </si>
  <si>
    <t xml:space="preserve">Maritime connectivity plus vessel data streams.</t>
  </si>
  <si>
    <t xml:space="preserve">Small-cap, recently restructured.</t>
  </si>
  <si>
    <t xml:space="preserve">Vessel telematics (niche)</t>
  </si>
  <si>
    <t xml:space="preserve">Beneteau America</t>
  </si>
  <si>
    <t xml:space="preserve">Sail/yacht builder (French Beneteau)</t>
  </si>
  <si>
    <t xml:space="preserve">BEN.PA</t>
  </si>
  <si>
    <t xml:space="preserve">Boat manufacturing plus a dealer network.</t>
  </si>
  <si>
    <t xml:space="preserve">Small US footprint; decisions in France; discretionary cyclicality.</t>
  </si>
  <si>
    <t xml:space="preserve">Dealer/demand &amp; mfg analytics (niche)</t>
  </si>
  <si>
    <t xml:space="preserve">HamiltonJet US</t>
  </si>
  <si>
    <t xml:space="preserve">Waterjet propulsion (NZ-based)</t>
  </si>
  <si>
    <t xml:space="preserve">Propulsion components plus aftermarket.</t>
  </si>
  <si>
    <t xml:space="preserve">Very small US operation; niche.</t>
  </si>
  <si>
    <t xml:space="preserve">MasterCraft Boat Holdings</t>
  </si>
  <si>
    <t xml:space="preserve">Performance boat builder</t>
  </si>
  <si>
    <t xml:space="preserve">MCFT</t>
  </si>
  <si>
    <t xml:space="preserve">Boat OEM with dealer-demand, quality and warranty analytics needs.</t>
  </si>
  <si>
    <t xml:space="preserve">Small-cap and highly cyclical.</t>
  </si>
  <si>
    <t xml:space="preserve">Dealer demand &amp; inventory; warranty/quality; F&amp;A</t>
  </si>
  <si>
    <t xml:space="preserve">Cummins</t>
  </si>
  <si>
    <t xml:space="preserve">Industrial / Powertrain</t>
  </si>
  <si>
    <t xml:space="preserve">Engines, power, components, Accelera (zero-emission)</t>
  </si>
  <si>
    <t xml:space="preserve">CMI</t>
  </si>
  <si>
    <t xml:space="preserve">Global engine leader with connected-diagnostics, a huge parts aftermarket and a complex global supply chain — one of the best all-around fits (IoT/telematics, warranty, SCM, F&amp;A).</t>
  </si>
  <si>
    <t xml:space="preserve">Deep internal analytics &amp; digital (PrevenTech) plus incumbent partners; enterprise access is hard.</t>
  </si>
  <si>
    <t xml:space="preserve">Engine telematics &amp; prognostics (IoT); warranty &amp; field-failure; multi-tier supply &amp; should-cost; parts demand (Aftersales); F&amp;A GBS</t>
  </si>
  <si>
    <t xml:space="preserve">Eaton</t>
  </si>
  <si>
    <t xml:space="preserve">Industrial / Electrical</t>
  </si>
  <si>
    <t xml:space="preserve">Electrical + industrial power management</t>
  </si>
  <si>
    <t xml:space="preserve">ETN</t>
  </si>
  <si>
    <t xml:space="preserve">Electrical-products powerhouse riding electrification and data-centre demand; broad plant, SCM, quality and connected-product analytics.</t>
  </si>
  <si>
    <t xml:space="preserve">Very mature operations with strong internal capability.</t>
  </si>
  <si>
    <t xml:space="preserve">Plant OEE/quality; supplier &amp; should-cost; demand sensing (SCM); connected-device IoT; F&amp;A</t>
  </si>
  <si>
    <t xml:space="preserve">Proto Labs</t>
  </si>
  <si>
    <t xml:space="preserve">Industrial Mfg-Tech</t>
  </si>
  <si>
    <t xml:space="preserve">Digital / on-demand manufacturing</t>
  </si>
  <si>
    <t xml:space="preserve">PRLB</t>
  </si>
  <si>
    <t xml:space="preserve">Digital-native manufacturer — instant quoting, DFM and capacity/pricing analytics make it a natural AI/ML partner.</t>
  </si>
  <si>
    <t xml:space="preserve">Mid-cap and already software-forward (may build rather than buy).</t>
  </si>
  <si>
    <t xml:space="preserve">Quote-to-cost &amp; pricing ML; capacity/utilisation; DFM analytics; F&amp;A</t>
  </si>
  <si>
    <t xml:space="preserve">Advanced Energy Ind.</t>
  </si>
  <si>
    <t xml:space="preserve">Industrial / Semi Equipment</t>
  </si>
  <si>
    <t xml:space="preserve">Precision power-conversion (semi, industrial)</t>
  </si>
  <si>
    <t xml:space="preserve">AEIS</t>
  </si>
  <si>
    <t xml:space="preserve">Precision-power maker serving semi/industrial; yield, reliability and demand analytics.</t>
  </si>
  <si>
    <t xml:space="preserve">Cyclical (semi capex); mid-cap.</t>
  </si>
  <si>
    <t xml:space="preserve">Yield/test &amp; reliability; demand forecasting; supplier; F&amp;A</t>
  </si>
  <si>
    <t xml:space="preserve">Columbus McKinnon</t>
  </si>
  <si>
    <t xml:space="preserve">Industrial / Motion</t>
  </si>
  <si>
    <t xml:space="preserve">Material handling (hoists, cranes) + intelligent motion</t>
  </si>
  <si>
    <t xml:space="preserve">CMCO</t>
  </si>
  <si>
    <t xml:space="preserve">Material-handling plus intelligent-motion products with connected-product/IoT and aftermarket-parts analytics upside.</t>
  </si>
  <si>
    <t xml:space="preserve">Mid-cap; digesting recent acquisitions.</t>
  </si>
  <si>
    <t xml:space="preserve">Connected-hoist IoT/predictive; parts aftermarket; mfg quality; SCM; F&amp;A</t>
  </si>
  <si>
    <t xml:space="preserve">Mueller Water Products</t>
  </si>
  <si>
    <t xml:space="preserve">Industrial / Water</t>
  </si>
  <si>
    <t xml:space="preserve">Water infrastructure: valves, meters, leak detection</t>
  </si>
  <si>
    <t xml:space="preserve">MWA</t>
  </si>
  <si>
    <t xml:space="preserve">Smart-water metering and leak-detection make this a strong IoT/analytics account with utility-facing data.</t>
  </si>
  <si>
    <t xml:space="preserve">Mid-cap; some captive smart-infrastructure analytics.</t>
  </si>
  <si>
    <t xml:space="preserve">Smart-meter &amp; leak analytics (IoT); demand &amp; inventory; mfg quality; F&amp;A</t>
  </si>
  <si>
    <t xml:space="preserve">inTEST</t>
  </si>
  <si>
    <t xml:space="preserve">Semi / Industrial Test</t>
  </si>
  <si>
    <t xml:space="preserve">Test &amp; process technologies</t>
  </si>
  <si>
    <t xml:space="preserve">INTT</t>
  </si>
  <si>
    <t xml:space="preserve">Test equipment for semi/industrial applications.</t>
  </si>
  <si>
    <t xml:space="preserve">Micro-cap, niche, thin budget.</t>
  </si>
  <si>
    <t xml:space="preserve">Graham Corporation</t>
  </si>
  <si>
    <t xml:space="preserve">Industrial / Defense</t>
  </si>
  <si>
    <t xml:space="preserve">Vacuum &amp; heat-transfer (energy, navy)</t>
  </si>
  <si>
    <t xml:space="preserve">GHM</t>
  </si>
  <si>
    <t xml:space="preserve">Engineered equipment for energy and navy with manufacturing/project analytics scope.</t>
  </si>
  <si>
    <t xml:space="preserve">Small-cap; some navy/defense compliance overhead.</t>
  </si>
  <si>
    <t xml:space="preserve">Project/mfg analytics (niche)</t>
  </si>
  <si>
    <t xml:space="preserve">Hurco</t>
  </si>
  <si>
    <t xml:space="preserve">Industrial / Machine Tools</t>
  </si>
  <si>
    <t xml:space="preserve">CNC machine tools</t>
  </si>
  <si>
    <t xml:space="preserve">HURC</t>
  </si>
  <si>
    <t xml:space="preserve">CNC-machine maker with machine-data potential.</t>
  </si>
  <si>
    <t xml:space="preserve">Small-cap, cyclical, niche.</t>
  </si>
  <si>
    <t xml:space="preserve">Machine telematics; dealer demand (niche)</t>
  </si>
  <si>
    <t xml:space="preserve">Ranpak Holdings</t>
  </si>
  <si>
    <t xml:space="preserve">Packaging</t>
  </si>
  <si>
    <t xml:space="preserve">Paper-based protective packaging + automation</t>
  </si>
  <si>
    <t xml:space="preserve">PACK</t>
  </si>
  <si>
    <t xml:space="preserve">Sustainable packaging plus warehouse automation; consumable-usage and automation-uptime analytics.</t>
  </si>
  <si>
    <t xml:space="preserve">Small-cap and leveraged; limited discretionary budget. (Listed twice in the source file — dedupe.)</t>
  </si>
  <si>
    <t xml:space="preserve">Consumable demand; automation uptime (IoT); customer-usage analytics</t>
  </si>
  <si>
    <t xml:space="preserve">Caterpillar</t>
  </si>
  <si>
    <t xml:space="preserve">Heavy Equipment</t>
  </si>
  <si>
    <t xml:space="preserve">Construction/mining/energy equipment</t>
  </si>
  <si>
    <t xml:space="preserve">CAT</t>
  </si>
  <si>
    <t xml:space="preserve">Gold-standard connected-asset/IoT and dealer/aftermarket account (Cat Digital, VisionLink) with an enormous parts &amp; services business and deep budget.</t>
  </si>
  <si>
    <t xml:space="preserve">Among the most analytics-mature industrials on earth (Cat Digital) with entrenched partners; adding value at enterprise level is hard.</t>
  </si>
  <si>
    <t xml:space="preserve">Fleet telematics &amp; predictive maintenance (IoT); dealer parts demand (Aftersales); rebuild/reman analytics; supplier &amp; should-cost; F&amp;A GBS</t>
  </si>
  <si>
    <t xml:space="preserve">AGCO</t>
  </si>
  <si>
    <t xml:space="preserve">Farm Equipment</t>
  </si>
  <si>
    <t xml:space="preserve">Ag machinery (Fendt, Massey Ferguson) + Precision Ag</t>
  </si>
  <si>
    <t xml:space="preserve">Ag-equipment major pushing precision-ag/Fuse and retrofit; strong telematics, dealer and aftermarket fit and generally more partner-open than Deere.</t>
  </si>
  <si>
    <t xml:space="preserve">Cyclical ag markets; PTx precision-ag integration still in progress.</t>
  </si>
  <si>
    <t xml:space="preserve">Machine telematics &amp; yield (IoT/precision-ag); dealer demand &amp; parts (Aftersales); warranty; supplier &amp; F&amp;A</t>
  </si>
  <si>
    <t xml:space="preserve">Lindsay Corporation</t>
  </si>
  <si>
    <t xml:space="preserve">Ag / Infrastructure</t>
  </si>
  <si>
    <t xml:space="preserve">Irrigation (FieldNET) + road infrastructure</t>
  </si>
  <si>
    <t xml:space="preserve">LNN</t>
  </si>
  <si>
    <t xml:space="preserve">Connected irrigation (FieldNET) provides IoT/remote-monitoring data alongside road-safety products.</t>
  </si>
  <si>
    <t xml:space="preserve">Small-cap with two quite distinct segments.</t>
  </si>
  <si>
    <t xml:space="preserve">Irrigation IoT/remote monitoring; demand forecasting; mfg quality; F&amp;A</t>
  </si>
  <si>
    <t xml:space="preserve">Astec Industries</t>
  </si>
  <si>
    <t xml:space="preserve">Asphalt/aggregate/infrastructure equipment</t>
  </si>
  <si>
    <t xml:space="preserve">ASTE</t>
  </si>
  <si>
    <t xml:space="preserve">Infrastructure-equipment maker with a telematics push and manufacturing, dealer and aftermarket analytics scope.</t>
  </si>
  <si>
    <t xml:space="preserve">Mid-cap; history of ERP/transformation pains.</t>
  </si>
  <si>
    <t xml:space="preserve">Equipment telematics (IoT); parts aftermarket; mfg throughput; SCM; F&amp;A</t>
  </si>
  <si>
    <t xml:space="preserve">Blue Bird</t>
  </si>
  <si>
    <t xml:space="preserve">Commercial Vehicles</t>
  </si>
  <si>
    <t xml:space="preserve">School buses incl. electric</t>
  </si>
  <si>
    <t xml:space="preserve">BLBD</t>
  </si>
  <si>
    <t xml:space="preserve">Bus OEM with an EV ramp — production, quality, warranty and EV-fleet telematics.</t>
  </si>
  <si>
    <t xml:space="preserve">Small/mid-cap; single-product-line cyclicality.</t>
  </si>
  <si>
    <t xml:space="preserve">Production &amp; quality; EV telematics (IoT); warranty; dealer demand; F&amp;A</t>
  </si>
  <si>
    <t xml:space="preserve">Federal Signal</t>
  </si>
  <si>
    <t xml:space="preserve">Commercial / Specialty Vehicles</t>
  </si>
  <si>
    <t xml:space="preserve">Environmental &amp; safety vehicles (sweepers, safety)</t>
  </si>
  <si>
    <t xml:space="preserve">FSS</t>
  </si>
  <si>
    <t xml:space="preserve">Well-run specialty-vehicle maker with strong aftermarket/rental and telematics potential.</t>
  </si>
  <si>
    <t xml:space="preserve">Diversified and acquisitive; some captive capability.</t>
  </si>
  <si>
    <t xml:space="preserve">Vehicle telematics (IoT); aftermarket parts &amp; rental utilisation; mfg quality; SCM; F&amp;A</t>
  </si>
  <si>
    <t xml:space="preserve">Xos, Inc.</t>
  </si>
  <si>
    <t xml:space="preserve">Commercial EV</t>
  </si>
  <si>
    <t xml:space="preserve">Electric commercial trucks</t>
  </si>
  <si>
    <t xml:space="preserve">XOS</t>
  </si>
  <si>
    <t xml:space="preserve">Electric-truck maker with fleet-telematics data.</t>
  </si>
  <si>
    <t xml:space="preserve">Micro-cap, cash-burning, going-concern risk — too fragile to engage now.</t>
  </si>
  <si>
    <t xml:space="preserve">Hyliion Holdings</t>
  </si>
  <si>
    <t xml:space="preserve">Commercial EV / Power</t>
  </si>
  <si>
    <t xml:space="preserve">Powertrain / KARNO distributed generator</t>
  </si>
  <si>
    <t xml:space="preserve">HYLN</t>
  </si>
  <si>
    <t xml:space="preserve">Pivoting to distributed power (KARNO generator).</t>
  </si>
  <si>
    <t xml:space="preserve">Pre-scale small-cap with uncertain commercial path.</t>
  </si>
  <si>
    <t xml:space="preserve">Manitex International</t>
  </si>
  <si>
    <t xml:space="preserve">Cranes &amp; lifting equipment</t>
  </si>
  <si>
    <t xml:space="preserve">MNTX</t>
  </si>
  <si>
    <t xml:space="preserve">Crane/lifting maker with aftermarket.</t>
  </si>
  <si>
    <t xml:space="preserve">Small-cap; in the middle of acquisition/consolidation.</t>
  </si>
  <si>
    <t xml:space="preserve">Twin Disc</t>
  </si>
  <si>
    <t xml:space="preserve">Industrial / Marine Powertrain</t>
  </si>
  <si>
    <t xml:space="preserve">Power transmission (marine/industrial)</t>
  </si>
  <si>
    <t xml:space="preserve">TWIN</t>
  </si>
  <si>
    <t xml:space="preserve">Power-transmission maker with aftermarket.</t>
  </si>
  <si>
    <t xml:space="preserve">Aftermarket/parts analytics (niche)</t>
  </si>
  <si>
    <t xml:space="preserve">Advanced Micro Devices (AMD)</t>
  </si>
  <si>
    <t xml:space="preserve">Semiconductors</t>
  </si>
  <si>
    <t xml:space="preserve">Fabless CPU/GPU/AI</t>
  </si>
  <si>
    <t xml:space="preserve">AMD</t>
  </si>
  <si>
    <t xml:space="preserve">AI-boom leader; fabless model = deep supply/demand-planning, allocation, OSAT test/yield and F&amp;A analytics with a very large budget.</t>
  </si>
  <si>
    <t xml:space="preserve">World-class internal data science that builds core IP; entry only via specific ops/finance functions.</t>
  </si>
  <si>
    <t xml:space="preserve">Demand &amp; allocation planning (SCM); test-data &amp; yield analytics; supplier/OSAT analytics; F&amp;A / revenue ops; GenAI enablement</t>
  </si>
  <si>
    <t xml:space="preserve">Applied Materials</t>
  </si>
  <si>
    <t xml:space="preserve">Semi Equipment</t>
  </si>
  <si>
    <t xml:space="preserve">Wafer-fab equipment (WFE) leader</t>
  </si>
  <si>
    <t xml:space="preserve">AMAT</t>
  </si>
  <si>
    <t xml:space="preserve">WFE leader with a massive installed base and services arm — strong for equipment IoT/predictive maintenance, spares and manufacturing analytics.</t>
  </si>
  <si>
    <t xml:space="preserve">Deep internal engineering/data science; export-control (ITAR-adjacent) sensitivity.</t>
  </si>
  <si>
    <t xml:space="preserve">Tool health &amp; predictive maintenance (IoT); spares &amp; service (Aftersales); mfg yield; supply planning; F&amp;A</t>
  </si>
  <si>
    <t xml:space="preserve">Coherent Corp</t>
  </si>
  <si>
    <t xml:space="preserve">Photonics / Semi</t>
  </si>
  <si>
    <t xml:space="preserve">Lasers, photonics &amp; materials</t>
  </si>
  <si>
    <t xml:space="preserve">COHR</t>
  </si>
  <si>
    <t xml:space="preserve">Photonics/optical-comms play riding AI-datacentre demand; complex yield, process and integration analytics post II-VI/Coherent merger.</t>
  </si>
  <si>
    <t xml:space="preserve">Heavily leveraged with integration and divestiture noise.</t>
  </si>
  <si>
    <t xml:space="preserve">Yield/test &amp; process analytics; SCM; demand forecasting; F&amp;A; integration analytics</t>
  </si>
  <si>
    <t xml:space="preserve">Onto Innovation</t>
  </si>
  <si>
    <t xml:space="preserve">Metrology &amp; inspection</t>
  </si>
  <si>
    <t xml:space="preserve">ONTO</t>
  </si>
  <si>
    <t xml:space="preserve">Metrology/inspection is inherently data-rich — a strong manufacturing-analytics and yield-learning fit.</t>
  </si>
  <si>
    <t xml:space="preserve">Mid-cap, niche, cyclical.</t>
  </si>
  <si>
    <t xml:space="preserve">Yield/defect analytics; installed-base service; demand; F&amp;A</t>
  </si>
  <si>
    <t xml:space="preserve">Silicon Laboratories</t>
  </si>
  <si>
    <t xml:space="preserve">IoT wireless SoCs</t>
  </si>
  <si>
    <t xml:space="preserve">SLAB</t>
  </si>
  <si>
    <t xml:space="preserve">IoT-chip maker with supply/demand and test-analytics needs.</t>
  </si>
  <si>
    <t xml:space="preserve">Small/mid-cap, cyclical, strong internal engineering.</t>
  </si>
  <si>
    <t xml:space="preserve">Demand/test/yield; SCM; F&amp;A (narrow)</t>
  </si>
  <si>
    <t xml:space="preserve">Amkor Technology</t>
  </si>
  <si>
    <t xml:space="preserve">Semi OSAT</t>
  </si>
  <si>
    <t xml:space="preserve">Outsourced assembly &amp; test</t>
  </si>
  <si>
    <t xml:space="preserve">AMKR</t>
  </si>
  <si>
    <t xml:space="preserve">OSAT leader with an extremely data-rich test/assembly floor and an advanced-packaging ramp — capacity, yield and utilisation analytics.</t>
  </si>
  <si>
    <t xml:space="preserve">Thin margins, Asia-centric operations, some captive MES analytics.</t>
  </si>
  <si>
    <t xml:space="preserve">Test/assembly yield &amp; OEE (Mfg); capacity/utilisation; demand/allocation; predictive maintenance; F&amp;A</t>
  </si>
  <si>
    <t xml:space="preserve">Ambarella</t>
  </si>
  <si>
    <t xml:space="preserve">Edge-AI vision SoCs</t>
  </si>
  <si>
    <t xml:space="preserve">AMBA</t>
  </si>
  <si>
    <t xml:space="preserve">Edge-AI vision chips.</t>
  </si>
  <si>
    <t xml:space="preserve">Small-cap fabless with strong internal AI — little vendor room.</t>
  </si>
  <si>
    <t xml:space="preserve">Demand/test (niche)</t>
  </si>
  <si>
    <t xml:space="preserve">SiTime</t>
  </si>
  <si>
    <t xml:space="preserve">MEMS timing</t>
  </si>
  <si>
    <t xml:space="preserve">SITM</t>
  </si>
  <si>
    <t xml:space="preserve">MEMS-timing leader.</t>
  </si>
  <si>
    <t xml:space="preserve">Small-cap, niche, strong internal engineering.</t>
  </si>
  <si>
    <t xml:space="preserve">Alpha &amp; Omega Semiconductor</t>
  </si>
  <si>
    <t xml:space="preserve">Power semiconductors (fab + design)</t>
  </si>
  <si>
    <t xml:space="preserve">AOSL</t>
  </si>
  <si>
    <t xml:space="preserve">Power-semi maker with fab operations.</t>
  </si>
  <si>
    <t xml:space="preserve">Small-cap, cyclical, China exposure.</t>
  </si>
  <si>
    <t xml:space="preserve">Yield/test; demand; F&amp;A (narrow)</t>
  </si>
  <si>
    <t xml:space="preserve">Cohu</t>
  </si>
  <si>
    <t xml:space="preserve">Test handling &amp; inspection</t>
  </si>
  <si>
    <t xml:space="preserve">COHU</t>
  </si>
  <si>
    <t xml:space="preserve">Semiconductor-test equipment with an installed base and its own DI test-analytics product.</t>
  </si>
  <si>
    <t xml:space="preserve">Cyclical and already sells test-data analytics (direct coopetition).</t>
  </si>
  <si>
    <t xml:space="preserve">Installed-base service/IoT; internal ops; F&amp;A</t>
  </si>
  <si>
    <t xml:space="preserve">Corning</t>
  </si>
  <si>
    <t xml:space="preserve">Materials / Electronics</t>
  </si>
  <si>
    <t xml:space="preserve">Specialty glass, ceramics, optical fibre</t>
  </si>
  <si>
    <t xml:space="preserve">GLW</t>
  </si>
  <si>
    <t xml:space="preserve">Materials-science leader riding optical-fibre / AI-datacentre demand; complex melt/draw process analytics, yield, energy and a large SCM footprint.</t>
  </si>
  <si>
    <t xml:space="preserve">Deep internal R&amp;D and process engineering.</t>
  </si>
  <si>
    <t xml:space="preserve">Process yield &amp; energy (Mfg); demand sensing (SCM); quality; F&amp;A GBS</t>
  </si>
  <si>
    <t xml:space="preserve">Freeport-McMoRan</t>
  </si>
  <si>
    <t xml:space="preserve">Mining</t>
  </si>
  <si>
    <t xml:space="preserve">Copper/gold/molybdenum major</t>
  </si>
  <si>
    <t xml:space="preserve">FCX</t>
  </si>
  <si>
    <t xml:space="preserve">Copper major with an electrification tailwind and a heavy asset/fleet/processing base — strong for predictive maintenance, mine-to-mill optimisation, energy and concentrator analytics, with real budget.</t>
  </si>
  <si>
    <t xml:space="preserve">Some captive/OT mining-tech relationships; commodity-price cyclicality.</t>
  </si>
  <si>
    <t xml:space="preserve">Haul-fleet &amp; fixed-plant predictive maintenance (IoT); mine-to-mill &amp; recovery optimisation; energy; procurement/MRO; F&amp;A</t>
  </si>
  <si>
    <t xml:space="preserve">Materion</t>
  </si>
  <si>
    <t xml:space="preserve">Advanced Materials</t>
  </si>
  <si>
    <t xml:space="preserve">Beryllium &amp; specialty alloys/materials</t>
  </si>
  <si>
    <t xml:space="preserve">MTRN</t>
  </si>
  <si>
    <t xml:space="preserve">Specialty-materials maker (aero, semi, defense) with process-yield, quality and demand analytics scope.</t>
  </si>
  <si>
    <t xml:space="preserve">Mid-cap, niche, some defense material.</t>
  </si>
  <si>
    <t xml:space="preserve">Process yield/quality; demand; SCM; F&amp;A</t>
  </si>
  <si>
    <t xml:space="preserve">Worthington Enterprises</t>
  </si>
  <si>
    <t xml:space="preserve">Metals / Consumer</t>
  </si>
  <si>
    <t xml:space="preserve">Pressure cylinders &amp; consumer products (post-split)</t>
  </si>
  <si>
    <t xml:space="preserve">WOR</t>
  </si>
  <si>
    <t xml:space="preserve">Metals-based consumer/industrial products with demand, manufacturing and SCM analytics scope.</t>
  </si>
  <si>
    <t xml:space="preserve">Mid-cap; still repositioning after the Worthington Steel split.</t>
  </si>
  <si>
    <t xml:space="preserve">Demand forecasting; mfg quality/OEE; SCM; F&amp;A</t>
  </si>
  <si>
    <t xml:space="preserve">Compass Minerals</t>
  </si>
  <si>
    <t xml:space="preserve">Minerals</t>
  </si>
  <si>
    <t xml:space="preserve">Salt + specialty potash/lithium</t>
  </si>
  <si>
    <t xml:space="preserve">CMP</t>
  </si>
  <si>
    <t xml:space="preserve">Salt/specialty-minerals producer with weather-driven deicing demand, heavy logistics and mine ops — strong forecasting and optimisation fit.</t>
  </si>
  <si>
    <t xml:space="preserve">Weather-dependent volatility, lithium-project uncertainty, and leverage.</t>
  </si>
  <si>
    <t xml:space="preserve">Weather-driven demand forecasting; logistics/rail optimisation; mine predictive maintenance; F&amp;A</t>
  </si>
  <si>
    <t xml:space="preserve">Olympic Steel</t>
  </si>
  <si>
    <t xml:space="preserve">Metals</t>
  </si>
  <si>
    <t xml:space="preserve">Metals service centre / processing</t>
  </si>
  <si>
    <t xml:space="preserve">ZEUS</t>
  </si>
  <si>
    <t xml:space="preserve">Metals distributor/processor with inventory, pricing and demand analytics needs.</t>
  </si>
  <si>
    <t xml:space="preserve">Thin-margin, cyclical commodity distribution; small analytics budget.</t>
  </si>
  <si>
    <t xml:space="preserve">Inventory &amp; pricing optimisation; demand forecasting; processing yield; F&amp;A</t>
  </si>
  <si>
    <t xml:space="preserve">MP Materials</t>
  </si>
  <si>
    <t xml:space="preserve">Mining / Materials</t>
  </si>
  <si>
    <t xml:space="preserve">Rare earths (mine + magnets)</t>
  </si>
  <si>
    <t xml:space="preserve">MP</t>
  </si>
  <si>
    <t xml:space="preserve">The only scaled US rare-earth/magnet play (strategic, DoD-backed); a ramping mine plus greenfield magnet manufacturing creates fresh analytics demand.</t>
  </si>
  <si>
    <t xml:space="preserve">Still scaling and volatile; some government/defense compliance.</t>
  </si>
  <si>
    <t xml:space="preserve">Recovery/process optimisation; magnet-mfg yield (Mfg); predictive maintenance; supply/demand; F&amp;A</t>
  </si>
  <si>
    <t xml:space="preserve">Friedman Industries</t>
  </si>
  <si>
    <t xml:space="preserve">Steel processing / tubular</t>
  </si>
  <si>
    <t xml:space="preserve">FRD</t>
  </si>
  <si>
    <t xml:space="preserve">Steel processor.</t>
  </si>
  <si>
    <t xml:space="preserve">Micro-cap, commodity, minimal budget.</t>
  </si>
  <si>
    <t xml:space="preserve">U.S. Lime &amp; Minerals</t>
  </si>
  <si>
    <t xml:space="preserve">Lime &amp; limestone</t>
  </si>
  <si>
    <t xml:space="preserve">USLM</t>
  </si>
  <si>
    <t xml:space="preserve">Lime producer with demand/logistics analytics scope.</t>
  </si>
  <si>
    <t xml:space="preserve">Small-cap, lean, low analytics maturity.</t>
  </si>
  <si>
    <t xml:space="preserve">Demand/logistics (niche)</t>
  </si>
  <si>
    <t xml:space="preserve">Americas Gold and Silver</t>
  </si>
  <si>
    <t xml:space="preserve">Precious-metals miner</t>
  </si>
  <si>
    <t xml:space="preserve">USAS</t>
  </si>
  <si>
    <t xml:space="preserve">Small precious-metals miner.</t>
  </si>
  <si>
    <t xml:space="preserve">Micro-cap, capital-constrained.</t>
  </si>
  <si>
    <t xml:space="preserve">Dow</t>
  </si>
  <si>
    <t xml:space="preserve">Chemicals</t>
  </si>
  <si>
    <t xml:space="preserve">Diversified materials &amp; commodity chemicals</t>
  </si>
  <si>
    <t xml:space="preserve">DOW</t>
  </si>
  <si>
    <t xml:space="preserve">Chemicals major with process-heavy, energy-intensive plants and a complex supply chain — strong for process/energy optimisation, reliability and F&amp;A GBS at scale.</t>
  </si>
  <si>
    <t xml:space="preserve">Mature internal digital plus entrenched partners; commodity-cycle cost pressure.</t>
  </si>
  <si>
    <t xml:space="preserve">Process &amp; energy optimisation; asset reliability &amp; predictive maintenance (IoT); demand &amp; logistics (SCM); procurement; F&amp;A GBS</t>
  </si>
  <si>
    <t xml:space="preserve">Entegris</t>
  </si>
  <si>
    <t xml:space="preserve">Semi Materials</t>
  </si>
  <si>
    <t xml:space="preserve">Advanced materials &amp; purity solutions for semi</t>
  </si>
  <si>
    <t xml:space="preserve">ENTG</t>
  </si>
  <si>
    <t xml:space="preserve">Critical semi-materials supplier with a secular tailwind; manufacturing purity/quality, demand-planning and supply analytics.</t>
  </si>
  <si>
    <t xml:space="preserve">Leveraged post-CMC deal; strong internal capability.</t>
  </si>
  <si>
    <t xml:space="preserve">Process/purity quality analytics; demand planning (SCM); supplier; F&amp;A</t>
  </si>
  <si>
    <t xml:space="preserve">GCP Applied Technologies (Saint-Gobain)</t>
  </si>
  <si>
    <t xml:space="preserve">Construction Chemicals</t>
  </si>
  <si>
    <t xml:space="preserve">Cement additives/admixtures (now Saint-Gobain)</t>
  </si>
  <si>
    <t xml:space="preserve">SGO.PA</t>
  </si>
  <si>
    <t xml:space="preserve">Construction-chemicals and specialty additives.</t>
  </si>
  <si>
    <t xml:space="preserve">Absorbed into Saint-Gobain — engage via the parent, not standalone.</t>
  </si>
  <si>
    <t xml:space="preserve">Route via Saint-Gobain (redundant standalone)</t>
  </si>
  <si>
    <t xml:space="preserve">Quaker Houghton</t>
  </si>
  <si>
    <t xml:space="preserve">Specialty Chemicals</t>
  </si>
  <si>
    <t xml:space="preserve">Industrial process fluids (metalworking)</t>
  </si>
  <si>
    <t xml:space="preserve">KWR</t>
  </si>
  <si>
    <t xml:space="preserve">Process-fluids leader embedded in customers' plants ('chemical management') — data-rich fluid-performance, usage and predictive analytics with a strong servitisation angle.</t>
  </si>
  <si>
    <t xml:space="preserve">Mid-cap and niche.</t>
  </si>
  <si>
    <t xml:space="preserve">Fluid-performance &amp; usage analytics (IoT at customer sites); demand &amp; VMI inventory; mfg quality; F&amp;A</t>
  </si>
  <si>
    <t xml:space="preserve">Arcadium Lithium</t>
  </si>
  <si>
    <t xml:space="preserve">Mining / Chemicals</t>
  </si>
  <si>
    <t xml:space="preserve">Integrated lithium (now part of Rio Tinto)</t>
  </si>
  <si>
    <t xml:space="preserve">(acq. by Rio Tinto 2025)</t>
  </si>
  <si>
    <t xml:space="preserve">Integrated lithium producer with process and recovery analytics scope.</t>
  </si>
  <si>
    <t xml:space="preserve">Acquired by Rio Tinto (2025) — the standalone entity is gone; engage via Rio Tinto.</t>
  </si>
  <si>
    <t xml:space="preserve">Route via Rio Tinto (process/recovery, predictive maintenance)</t>
  </si>
  <si>
    <t xml:space="preserve">Sensient Technologies</t>
  </si>
  <si>
    <t xml:space="preserve">Colours, flavours &amp; food ingredients</t>
  </si>
  <si>
    <t xml:space="preserve">SXT</t>
  </si>
  <si>
    <t xml:space="preserve">Ingredients maker with batch-process, quality/formulation and demand analytics plus food-safety traceability.</t>
  </si>
  <si>
    <t xml:space="preserve">Batch yield &amp; formulation analytics; demand forecasting; quality/traceability; F&amp;A</t>
  </si>
  <si>
    <t xml:space="preserve">Cabot Microelectronics / CMC Materials (Entegris)</t>
  </si>
  <si>
    <t xml:space="preserve">CMP slurries &amp; pads (now Entegris)</t>
  </si>
  <si>
    <t xml:space="preserve">CMP-consumables leader.</t>
  </si>
  <si>
    <t xml:space="preserve">Already part of Entegris — engage via Entegris, not standalone.</t>
  </si>
  <si>
    <t xml:space="preserve">Route via Entegris (redundant standalone)</t>
  </si>
  <si>
    <t xml:space="preserve">PolyOne / Avient</t>
  </si>
  <si>
    <t xml:space="preserve">Specialty Materials</t>
  </si>
  <si>
    <t xml:space="preserve">Specialty polymers, colorants, composites</t>
  </si>
  <si>
    <t xml:space="preserve">AVNT</t>
  </si>
  <si>
    <t xml:space="preserve">Specialty-polymer/materials formulator with formulation, demand and yield analytics scope and a sustainability portfolio.</t>
  </si>
  <si>
    <t xml:space="preserve">Mid-cap; some captive R&amp;D.</t>
  </si>
  <si>
    <t xml:space="preserve">Formulation &amp; yield analytics; demand/inventory (SCM); procurement (resin should-cost); F&amp;A</t>
  </si>
  <si>
    <t xml:space="preserve">P.H. Glatfelter (Magnera post-2024 merger)</t>
  </si>
  <si>
    <t xml:space="preserve">Specialty Materials / Nonwovens</t>
  </si>
  <si>
    <t xml:space="preserve">Engineered materials &amp; nonwovens (now Magnera)</t>
  </si>
  <si>
    <t xml:space="preserve">MAGN</t>
  </si>
  <si>
    <t xml:space="preserve">Nonwovens/engineered-materials scale player post-merger; integration, demand and manufacturing analytics opportunity.</t>
  </si>
  <si>
    <t xml:space="preserve">Leveraged with heavy post-merger integration.</t>
  </si>
  <si>
    <t xml:space="preserve">Integration &amp; network analytics; demand/inventory; mfg OEE/yield; F&amp;A</t>
  </si>
  <si>
    <t xml:space="preserve">Minerals Technologies Inc.</t>
  </si>
  <si>
    <t xml:space="preserve">Specialty Minerals</t>
  </si>
  <si>
    <t xml:space="preserve">Engineered minerals (PCC, bentonite)</t>
  </si>
  <si>
    <t xml:space="preserve">MTX</t>
  </si>
  <si>
    <t xml:space="preserve">Specialty-minerals maker running on-site 'satellite' plants at customers (paper) — data-rich process and usage analytics.</t>
  </si>
  <si>
    <t xml:space="preserve">Mid-cap, mature, niche.</t>
  </si>
  <si>
    <t xml:space="preserve">On-site process &amp; usage analytics; demand; predictive maintenance; F&amp;A</t>
  </si>
  <si>
    <t xml:space="preserve">Kimberly-Clark</t>
  </si>
  <si>
    <t xml:space="preserve">Consumer / Paper</t>
  </si>
  <si>
    <t xml:space="preserve">Tissue &amp; personal-care CPG</t>
  </si>
  <si>
    <t xml:space="preserve">KMB</t>
  </si>
  <si>
    <t xml:space="preserve">Global CPG with large plants, huge SCM/demand, trade promotion and F&amp;A GBS — broad, deep analytics footprint (demand sensing, RGM, supply, F&amp;A).</t>
  </si>
  <si>
    <t xml:space="preserve">Mature analytics org with big incumbents; CPG rather than discrete manufacturing.</t>
  </si>
  <si>
    <t xml:space="preserve">Demand sensing &amp; RGM (SCM/Commercial); plant OEE/quality; logistics; procurement; F&amp;A GBS</t>
  </si>
  <si>
    <t xml:space="preserve">Avery Dennison</t>
  </si>
  <si>
    <t xml:space="preserve">Materials / Labeling</t>
  </si>
  <si>
    <t xml:space="preserve">Labels + RFID / Intelligent Labels</t>
  </si>
  <si>
    <t xml:space="preserve">AVY</t>
  </si>
  <si>
    <t xml:space="preserve">Global labeling leader plus RFID/Intelligent Labels (item-level supply-chain data) — a unique IoT/traceability angle with strong mfg/SCM analytics.</t>
  </si>
  <si>
    <t xml:space="preserve">Mature with strong internal digital (atma.io).</t>
  </si>
  <si>
    <t xml:space="preserve">RFID/item-level traceability analytics (IoT); mfg yield; demand &amp; inventory; procurement; F&amp;A</t>
  </si>
  <si>
    <t xml:space="preserve">Transcontinental</t>
  </si>
  <si>
    <t xml:space="preserve">Packaging / Printing</t>
  </si>
  <si>
    <t xml:space="preserve">Flexible packaging + printing (Canada)</t>
  </si>
  <si>
    <t xml:space="preserve">TCL.A</t>
  </si>
  <si>
    <t xml:space="preserve">Flexible-packaging and print with mfg-yield, waste and demand analytics.</t>
  </si>
  <si>
    <t xml:space="preserve">Mid-cap, Canada-centric, secular print decline.</t>
  </si>
  <si>
    <t xml:space="preserve">Mfg yield/waste; demand/inventory; F&amp;A</t>
  </si>
  <si>
    <t xml:space="preserve">UFP Technologies</t>
  </si>
  <si>
    <t xml:space="preserve">Packaging / MedTech</t>
  </si>
  <si>
    <t xml:space="preserve">Engineered materials + medical devices</t>
  </si>
  <si>
    <t xml:space="preserve">UFPT</t>
  </si>
  <si>
    <t xml:space="preserve">Engineered-packaging plus a fast-growing medical-device manufacturing business with quality/traceability and demand analytics.</t>
  </si>
  <si>
    <t xml:space="preserve">Small/mid-cap, acquisitive, lean.</t>
  </si>
  <si>
    <t xml:space="preserve">Medical-device quality/traceability; demand; SCM; F&amp;A</t>
  </si>
  <si>
    <t xml:space="preserve">Mativ Holdings</t>
  </si>
  <si>
    <t xml:space="preserve">Specialty papers &amp; films (SWM + Neenah)</t>
  </si>
  <si>
    <t xml:space="preserve">MATV</t>
  </si>
  <si>
    <t xml:space="preserve">Specialty-materials scale player with integration, manufacturing and demand analytics scope.</t>
  </si>
  <si>
    <t xml:space="preserve">Leveraged; post-merger portfolio reshaping.</t>
  </si>
  <si>
    <t xml:space="preserve">Network/integration analytics; mfg OEE; demand; F&amp;A</t>
  </si>
  <si>
    <t xml:space="preserve">Winpak</t>
  </si>
  <si>
    <t xml:space="preserve">Protective &amp; specialty packaging (Canada)</t>
  </si>
  <si>
    <t xml:space="preserve">WPK</t>
  </si>
  <si>
    <t xml:space="preserve">Well-run packaging maker (food/healthcare) with mfg-yield and demand analytics scope.</t>
  </si>
  <si>
    <t xml:space="preserve">Small/mid-cap, conservative and lean IT.</t>
  </si>
  <si>
    <t xml:space="preserve">Mfg yield/OEE; demand/inventory; F&amp;A</t>
  </si>
  <si>
    <t xml:space="preserve">AstroNova</t>
  </si>
  <si>
    <t xml:space="preserve">Industrial / Printing</t>
  </si>
  <si>
    <t xml:space="preserve">Data-visualisation &amp; specialty printing</t>
  </si>
  <si>
    <t xml:space="preserve">ALOT</t>
  </si>
  <si>
    <t xml:space="preserve">Niche specialty-printing and aerospace-data products.</t>
  </si>
  <si>
    <t xml:space="preserve">Micro-cap, niche, minimal budget.</t>
  </si>
  <si>
    <t xml:space="preserve">Ennis</t>
  </si>
  <si>
    <t xml:space="preserve">Printing / Business Products</t>
  </si>
  <si>
    <t xml:space="preserve">Business forms &amp; print</t>
  </si>
  <si>
    <t xml:space="preserve">EBF</t>
  </si>
  <si>
    <t xml:space="preserve">Business-print manufacturer.</t>
  </si>
  <si>
    <t xml:space="preserve">Small-cap, secular print decline, low analytics maturity.</t>
  </si>
  <si>
    <t xml:space="preserve">Demand/inventory; F&amp;A (niche)</t>
  </si>
  <si>
    <t xml:space="preserve">Loop Industries</t>
  </si>
  <si>
    <t xml:space="preserve">Chemicals / Recycling</t>
  </si>
  <si>
    <t xml:space="preserve">PET depolymerisation (pre-commercial)</t>
  </si>
  <si>
    <t xml:space="preserve">LOOP</t>
  </si>
  <si>
    <t xml:space="preserve">Sustainable-PET recycling technology.</t>
  </si>
  <si>
    <t xml:space="preserve">Pre-revenue, pre-commercial micro-cap with no operating scale for analytics.</t>
  </si>
  <si>
    <t xml:space="preserve">EXL Capability Map Across the Manufacturing Value Chain (Procurement -&gt; After-Sales)</t>
  </si>
  <si>
    <t xml:space="preserve">Value-Chain Stage</t>
  </si>
  <si>
    <t xml:space="preserve">EXL Capability / Offer</t>
  </si>
  <si>
    <t xml:space="preserve">Representative Analytics &amp; AI Use Cases</t>
  </si>
  <si>
    <t xml:space="preserve">Best-Fit Clusters</t>
  </si>
  <si>
    <t xml:space="preserve">Delivery Note</t>
  </si>
  <si>
    <t xml:space="preserve">1. Procurement &amp; Strategic Sourcing</t>
  </si>
  <si>
    <t xml:space="preserve">Spend analytics, should-cost modelling, supplier risk &amp; VMI intelligence</t>
  </si>
  <si>
    <t xml:space="preserve">Should-cost &amp; tail-spend analytics; supplier risk-scoring &amp; disruption early-warning; commodity/resin price forecasting; contract &amp; payment-terms optimisation; supplier ESG scoring</t>
  </si>
  <si>
    <t xml:space="preserve">Aptiv, Cummins, Eaton, Caterpillar, Dow, PolyOne/Avient, Corning, Freeport-McMoRan</t>
  </si>
  <si>
    <t xml:space="preserve">Highly offshore-deliverable; strong first-engagement wedge (data + quick ROI)</t>
  </si>
  <si>
    <t xml:space="preserve">2. Manufacturing &amp; Quality (MES/SPC)</t>
  </si>
  <si>
    <t xml:space="preserve">Plant OEE, SPC/yield analytics, computer-vision quality, process optimisation</t>
  </si>
  <si>
    <t xml:space="preserve">Yield &amp; scrap prediction; SPC/anomaly detection; vision-based defect inspection; batch-genealogy &amp; first-pass-yield; energy-per-unit optimisation; digital-thread / genealogy</t>
  </si>
  <si>
    <t xml:space="preserve">ATI, Amkor, Applied Materials, Corning, Sensient, Materion, MP Materials, Dow</t>
  </si>
  <si>
    <t xml:space="preserve">May need OT/plant-data access &amp; on-site discovery; blends offshore build + onshore SME</t>
  </si>
  <si>
    <t xml:space="preserve">3. IoT, Telematics &amp; Predictive Maintenance</t>
  </si>
  <si>
    <t xml:space="preserve">Connected-asset health, RUL prediction, fleet telematics, digital twins</t>
  </si>
  <si>
    <t xml:space="preserve">Remaining-useful-life &amp; failure prediction; fleet telematics &amp; utilisation; anomaly detection on sensor streams; alarm-flood reduction; digital-twin simulation; warranty-cost avoidance</t>
  </si>
  <si>
    <t xml:space="preserve">Caterpillar, Cummins, Wabtec, GE Aerospace, Brunswick, AGCO, Avery Dennison (RFID), Mueller Water, Freeport-McMoRan</t>
  </si>
  <si>
    <t xml:space="preserve">Signature differentiator; anchor on a high-value asset class, prove ROI, then scale</t>
  </si>
  <si>
    <t xml:space="preserve">4. Supply-Chain Planning &amp; Logistics</t>
  </si>
  <si>
    <t xml:space="preserve">Demand sensing, multi-echelon inventory, control-tower, network optimisation</t>
  </si>
  <si>
    <t xml:space="preserve">ML demand forecasting &amp; sensing; multi-echelon inventory optimisation; shortage/allocation prediction; logistics &amp; freight optimisation; S&amp;OP/IBP analytics; control-tower &amp; risk</t>
  </si>
  <si>
    <t xml:space="preserve">Dorman, Kimberly-Clark, VSE, Compass Minerals, Genesee &amp; Wyoming, Watco, AMD, Entegris</t>
  </si>
  <si>
    <t xml:space="preserve">Broadly offshore-deliverable; pairs naturally with SCM-ops BPO</t>
  </si>
  <si>
    <t xml:space="preserve">5. Sales, Aftermarket &amp; Field Service</t>
  </si>
  <si>
    <t xml:space="preserve">Aftermarket parts, warranty analytics, service optimisation, pricing/RGM</t>
  </si>
  <si>
    <t xml:space="preserve">Parts-demand forecasting &amp; fill-rate; warranty &amp; field-failure analytics; service-scheduling &amp; technician routing; reman/rebuild propensity; dynamic pricing &amp; revenue-growth management; cross-sell</t>
  </si>
  <si>
    <t xml:space="preserve">Caterpillar, Cummins, Wabtec, Brunswick, AGCO, Federal Signal, Dorman, GE Aerospace, VSE</t>
  </si>
  <si>
    <t xml:space="preserve">Aftermarket is where OEM margin lives -&gt; strong exec sponsorship &amp; ROI story</t>
  </si>
  <si>
    <t xml:space="preserve">6. Finance &amp; Accounting Ops (GBS)</t>
  </si>
  <si>
    <t xml:space="preserve">F&amp;A BPO + analytics: O2C, P2P, R2R, close automation, revenue assurance</t>
  </si>
  <si>
    <t xml:space="preserve">Order-to-cash &amp; collections analytics; invoice/AP automation; close acceleration; revenue assurance &amp; leakage; margin &amp; cost-to-serve analytics; GenAI finance copilots</t>
  </si>
  <si>
    <t xml:space="preserve">Kimberly-Clark, Dow, Cummins, Caterpillar, Corning, CarMax, Openlane</t>
  </si>
  <si>
    <t xml:space="preserve">EXL's core BPM strength; lowest-friction land-and-expand entry point</t>
  </si>
  <si>
    <t xml:space="preserve">7. SCM Ops / Order Management (BPO)</t>
  </si>
  <si>
    <t xml:space="preserve">Order management, supplier onboarding, logistics coordination as managed service</t>
  </si>
  <si>
    <t xml:space="preserve">Order-management &amp; exception handling; supplier onboarding &amp; master-data; logistics documentation &amp; track-and-trace ops; returns/RMA processing; analytics-embedded managed services</t>
  </si>
  <si>
    <t xml:space="preserve">Dorman, Kimberly-Clark, Avery Dennison, Federal Signal, VSE, Entegris</t>
  </si>
  <si>
    <t xml:space="preserve">Ops + analytics bundle raises stickiness and deal size</t>
  </si>
  <si>
    <t xml:space="preserve">8. Cross-cutting: GenAI &amp; Data Foundation</t>
  </si>
  <si>
    <t xml:space="preserve">Data/cloud modernisation, GenAI copilots, agentic workflows, MLOps &amp; governance</t>
  </si>
  <si>
    <t xml:space="preserve">Data-platform &amp; lakehouse modernisation; GenAI knowledge assistants (engineering, service, procurement); agentic process automation; MLOps &amp; model governance (NIST AI RMF)</t>
  </si>
  <si>
    <t xml:space="preserve">All clusters (especially large caps: Dow, Cummins, Caterpillar, Corning, Kimberly-Clark, AMD)</t>
  </si>
  <si>
    <t xml:space="preserve">Ties to EXL's AI governance &amp; GenAI positioning; enables premium framing across every stage</t>
  </si>
  <si>
    <t xml:space="preserve">Tiering Logic, Cross-Cutting Risks &amp; Portfolio Summary</t>
  </si>
  <si>
    <t xml:space="preserve">Priority Tiers</t>
  </si>
  <si>
    <t xml:space="preserve">Scaled analytics spend x clear addressable pain x offshore-deliverable x multiple value-chain entry points. Lead with these for BD.</t>
  </si>
  <si>
    <t xml:space="preserve">Solid fit but narrower entry, mid-cap budget, harder access (captive teams/incumbents), or a single strong wedge. Pursue selectively / partner-led.</t>
  </si>
  <si>
    <t xml:space="preserve">Micro/small-cap with thin budgets, niche, pure consumer-digital (off-thesis), defense/ITAR onshore-only, or already absorbed via M&amp;A. Watch or route via parent.</t>
  </si>
  <si>
    <t xml:space="preserve">Portfolio Summary (live counts)</t>
  </si>
  <si>
    <t xml:space="preserve">Total firms</t>
  </si>
  <si>
    <t xml:space="preserve">High priority</t>
  </si>
  <si>
    <t xml:space="preserve">Medium priority</t>
  </si>
  <si>
    <t xml:space="preserve">Low priority</t>
  </si>
  <si>
    <t xml:space="preserve">Cross-Cutting Risks &amp; Delivery Constraints</t>
  </si>
  <si>
    <t xml:space="preserve">Defense / ITAR / CUI</t>
  </si>
  <si>
    <t xml:space="preserve">Elbit, AeroVironment, Red Cat, BAE Ship Repair, Fairbanks Morse, Austal, Boeing-defense, Graham-navy: export controls restrict offshore delivery. Requires cleared, onshore personnel -&gt; structurally harder for an India-centric delivery model. Price/staff accordingly or de-prioritise.</t>
  </si>
  <si>
    <t xml:space="preserve">Captive analytics / incumbent SIs</t>
  </si>
  <si>
    <t xml:space="preserve">Boeing, GE Aerospace, Caterpillar, Cummins, Eaton, Dow, AMD, Applied Materials, Corning, Kimberly-Clark: large internal data-science teams and entrenched partners. Win via a specific plant/function/pod with a sharp ROI wedge, not a top-down enterprise pitch.</t>
  </si>
  <si>
    <t xml:space="preserve">Small / micro-cap budget</t>
  </si>
  <si>
    <t xml:space="preserve">Red Cat, Xos, Hyliion, Loop, AstroNova, inTEST, Hurco, Twin Disc, Friedman, Americas Gold &amp; Silver, etc.: limited discretionary analytics spend. 'Watch' unless a lightweight, high-ROI point solution fits.</t>
  </si>
  <si>
    <t xml:space="preserve">M&amp;A already absorbed</t>
  </si>
  <si>
    <t xml:space="preserve">Nordco (Wabtec), GCP (Saint-Gobain), CMC Materials (Entegris), Arcadium (Rio Tinto): the standalone target is gone. Engage via the parent to avoid wasted BD effort.</t>
  </si>
  <si>
    <t xml:space="preserve">Off-thesis (consumer digital)</t>
  </si>
  <si>
    <t xml:space="preserve">CarMax, CarGurus, Cars.com, Openlane: retail/martech/fintech, not manufacturing. Real F&amp;A / pricing / marketing-analytics fit, but map to a different practice.</t>
  </si>
  <si>
    <t xml:space="preserve">Cyclicality / thin margins</t>
  </si>
  <si>
    <t xml:space="preserve">Steel &amp; metals distribution (Olympic, Friedman), mining, auto retail, marine discretionary: commodity/cycle pressure compresses discretionary spend. Time outreach to capex/upcycle windows.</t>
  </si>
  <si>
    <t xml:space="preserve">Duplicate in source list</t>
  </si>
  <si>
    <t xml:space="preserve">Ranpak Holdings appears twice in the uploaded file (industrial packaging + packaging cluster) - dedupe to a single account record.</t>
  </si>
  <si>
    <t xml:space="preserve">Recommended BD Sequencing</t>
  </si>
  <si>
    <t xml:space="preserve">1. Land</t>
  </si>
  <si>
    <t xml:space="preserve">Enter High-tier accounts through F&amp;A/SCM-ops or a procurement should-cost wedge (fast ROI, low friction, offshore-heavy).</t>
  </si>
  <si>
    <t xml:space="preserve">2. Prove</t>
  </si>
  <si>
    <t xml:space="preserve">Deliver a lighthouse IoT/predictive-maintenance or demand-sensing use case on one high-value asset class or SKU family.</t>
  </si>
  <si>
    <t xml:space="preserve">3. Expand</t>
  </si>
  <si>
    <t xml:space="preserve">Scale across value-chain stages (Mfg quality -&gt; aftermarket -&gt; GenAI copilots) and add managed-services stickiness.</t>
  </si>
  <si>
    <t xml:space="preserve">4. Reference</t>
  </si>
  <si>
    <t xml:space="preserve">Convert lighthouse wins into sector references (rail, heavy equipment, chemicals, semi) to accelerate the Medium tier.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</si>
</sst>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9C6500"/>
      <name val="Arial"/>
      <family val="0"/>
      <charset val="1"/>
    </font>
    <font>
      <b val="true"/>
      <sz val="9"/>
      <color rgb="FF80808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EAF0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CC99"/>
      </patternFill>
    </fill>
    <fill>
      <patternFill patternType="solid">
        <fgColor rgb="FFF2F2F2"/>
        <bgColor rgb="FFEAF0FB"/>
      </patternFill>
    </fill>
    <fill>
      <patternFill patternType="solid">
        <fgColor rgb="FF2E5496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AF0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EAF0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52"/>
    <col collapsed="false" customWidth="true" hidden="false" outlineLevel="0" max="7" min="7" style="0" width="44"/>
    <col collapsed="false" customWidth="true" hidden="false" outlineLevel="0" max="8" min="8" style="0" width="10"/>
    <col collapsed="false" customWidth="true" hidden="false" outlineLevel="0" max="9" min="9" style="0" width="5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3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43.25" hidden="false" customHeight="false" outlineLevel="0" collapsed="false">
      <c r="A4" s="4" t="n">
        <v>1</v>
      </c>
      <c r="B4" s="5" t="s">
        <v>11</v>
      </c>
      <c r="C4" s="4" t="s">
        <v>12</v>
      </c>
      <c r="D4" s="4" t="s">
        <v>13</v>
      </c>
      <c r="E4" s="4" t="s">
        <v>14</v>
      </c>
      <c r="F4" s="6" t="s">
        <v>15</v>
      </c>
      <c r="G4" s="6" t="s">
        <v>16</v>
      </c>
      <c r="H4" s="7" t="s">
        <v>17</v>
      </c>
      <c r="I4" s="6" t="s">
        <v>18</v>
      </c>
    </row>
    <row r="5" customFormat="false" ht="32.8" hidden="false" customHeight="false" outlineLevel="0" collapsed="false">
      <c r="A5" s="8" t="n">
        <v>2</v>
      </c>
      <c r="B5" s="9" t="s">
        <v>19</v>
      </c>
      <c r="C5" s="8" t="s">
        <v>20</v>
      </c>
      <c r="D5" s="8" t="s">
        <v>21</v>
      </c>
      <c r="E5" s="8" t="s">
        <v>22</v>
      </c>
      <c r="F5" s="10" t="s">
        <v>23</v>
      </c>
      <c r="G5" s="10" t="s">
        <v>24</v>
      </c>
      <c r="H5" s="11" t="s">
        <v>25</v>
      </c>
      <c r="I5" s="10" t="s">
        <v>26</v>
      </c>
    </row>
    <row r="6" customFormat="false" ht="22.35" hidden="false" customHeight="false" outlineLevel="0" collapsed="false">
      <c r="A6" s="4" t="n">
        <v>3</v>
      </c>
      <c r="B6" s="5" t="s">
        <v>27</v>
      </c>
      <c r="C6" s="4" t="s">
        <v>28</v>
      </c>
      <c r="D6" s="4" t="s">
        <v>29</v>
      </c>
      <c r="E6" s="4" t="s">
        <v>30</v>
      </c>
      <c r="F6" s="6" t="s">
        <v>31</v>
      </c>
      <c r="G6" s="6" t="s">
        <v>32</v>
      </c>
      <c r="H6" s="11" t="s">
        <v>25</v>
      </c>
      <c r="I6" s="6" t="s">
        <v>33</v>
      </c>
    </row>
    <row r="7" customFormat="false" ht="22.35" hidden="false" customHeight="false" outlineLevel="0" collapsed="false">
      <c r="A7" s="8" t="n">
        <v>4</v>
      </c>
      <c r="B7" s="9" t="s">
        <v>34</v>
      </c>
      <c r="C7" s="8" t="s">
        <v>35</v>
      </c>
      <c r="D7" s="8" t="s">
        <v>36</v>
      </c>
      <c r="E7" s="8" t="s">
        <v>37</v>
      </c>
      <c r="F7" s="10" t="s">
        <v>38</v>
      </c>
      <c r="G7" s="10" t="s">
        <v>39</v>
      </c>
      <c r="H7" s="12" t="s">
        <v>40</v>
      </c>
      <c r="I7" s="10" t="s">
        <v>41</v>
      </c>
    </row>
    <row r="8" customFormat="false" ht="22.35" hidden="false" customHeight="false" outlineLevel="0" collapsed="false">
      <c r="A8" s="4" t="n">
        <v>5</v>
      </c>
      <c r="B8" s="5" t="s">
        <v>42</v>
      </c>
      <c r="C8" s="4" t="s">
        <v>35</v>
      </c>
      <c r="D8" s="4" t="s">
        <v>36</v>
      </c>
      <c r="E8" s="4" t="s">
        <v>43</v>
      </c>
      <c r="F8" s="6" t="s">
        <v>44</v>
      </c>
      <c r="G8" s="6" t="s">
        <v>45</v>
      </c>
      <c r="H8" s="12" t="s">
        <v>40</v>
      </c>
      <c r="I8" s="6" t="s">
        <v>46</v>
      </c>
    </row>
    <row r="9" customFormat="false" ht="32.8" hidden="false" customHeight="false" outlineLevel="0" collapsed="false">
      <c r="A9" s="8" t="n">
        <v>6</v>
      </c>
      <c r="B9" s="9" t="s">
        <v>47</v>
      </c>
      <c r="C9" s="8" t="s">
        <v>48</v>
      </c>
      <c r="D9" s="8" t="s">
        <v>49</v>
      </c>
      <c r="E9" s="8" t="s">
        <v>50</v>
      </c>
      <c r="F9" s="10" t="s">
        <v>51</v>
      </c>
      <c r="G9" s="10" t="s">
        <v>52</v>
      </c>
      <c r="H9" s="11" t="s">
        <v>25</v>
      </c>
      <c r="I9" s="10" t="s">
        <v>53</v>
      </c>
    </row>
    <row r="10" customFormat="false" ht="32.8" hidden="false" customHeight="false" outlineLevel="0" collapsed="false">
      <c r="A10" s="4" t="n">
        <v>7</v>
      </c>
      <c r="B10" s="5" t="s">
        <v>54</v>
      </c>
      <c r="C10" s="4" t="s">
        <v>55</v>
      </c>
      <c r="D10" s="4" t="s">
        <v>56</v>
      </c>
      <c r="E10" s="4" t="s">
        <v>57</v>
      </c>
      <c r="F10" s="6" t="s">
        <v>58</v>
      </c>
      <c r="G10" s="6" t="s">
        <v>59</v>
      </c>
      <c r="H10" s="11" t="s">
        <v>25</v>
      </c>
      <c r="I10" s="6" t="s">
        <v>60</v>
      </c>
    </row>
    <row r="11" customFormat="false" ht="32.8" hidden="false" customHeight="false" outlineLevel="0" collapsed="false">
      <c r="A11" s="8" t="n">
        <v>8</v>
      </c>
      <c r="B11" s="9" t="s">
        <v>61</v>
      </c>
      <c r="C11" s="8" t="s">
        <v>62</v>
      </c>
      <c r="D11" s="8" t="s">
        <v>63</v>
      </c>
      <c r="E11" s="8" t="s">
        <v>64</v>
      </c>
      <c r="F11" s="10" t="s">
        <v>65</v>
      </c>
      <c r="G11" s="10" t="s">
        <v>66</v>
      </c>
      <c r="H11" s="12" t="s">
        <v>40</v>
      </c>
      <c r="I11" s="10" t="s">
        <v>67</v>
      </c>
    </row>
    <row r="12" customFormat="false" ht="22.35" hidden="false" customHeight="false" outlineLevel="0" collapsed="false">
      <c r="A12" s="4" t="n">
        <v>9</v>
      </c>
      <c r="B12" s="5" t="s">
        <v>68</v>
      </c>
      <c r="C12" s="4" t="s">
        <v>69</v>
      </c>
      <c r="D12" s="4" t="s">
        <v>70</v>
      </c>
      <c r="E12" s="4" t="s">
        <v>71</v>
      </c>
      <c r="F12" s="6" t="s">
        <v>72</v>
      </c>
      <c r="G12" s="6" t="s">
        <v>73</v>
      </c>
      <c r="H12" s="12" t="s">
        <v>40</v>
      </c>
      <c r="I12" s="6" t="s">
        <v>74</v>
      </c>
    </row>
    <row r="13" customFormat="false" ht="22.35" hidden="false" customHeight="false" outlineLevel="0" collapsed="false">
      <c r="A13" s="8" t="n">
        <v>10</v>
      </c>
      <c r="B13" s="9" t="s">
        <v>75</v>
      </c>
      <c r="C13" s="8" t="s">
        <v>76</v>
      </c>
      <c r="D13" s="8" t="s">
        <v>77</v>
      </c>
      <c r="E13" s="8" t="s">
        <v>78</v>
      </c>
      <c r="F13" s="10" t="s">
        <v>79</v>
      </c>
      <c r="G13" s="10" t="s">
        <v>80</v>
      </c>
      <c r="H13" s="12" t="s">
        <v>40</v>
      </c>
      <c r="I13" s="10" t="s">
        <v>81</v>
      </c>
    </row>
    <row r="14" customFormat="false" ht="43.25" hidden="false" customHeight="false" outlineLevel="0" collapsed="false">
      <c r="A14" s="4" t="n">
        <v>11</v>
      </c>
      <c r="B14" s="5" t="s">
        <v>82</v>
      </c>
      <c r="C14" s="4" t="s">
        <v>83</v>
      </c>
      <c r="D14" s="4" t="s">
        <v>84</v>
      </c>
      <c r="E14" s="4" t="s">
        <v>85</v>
      </c>
      <c r="F14" s="6" t="s">
        <v>86</v>
      </c>
      <c r="G14" s="6" t="s">
        <v>87</v>
      </c>
      <c r="H14" s="11" t="s">
        <v>25</v>
      </c>
      <c r="I14" s="6" t="s">
        <v>88</v>
      </c>
    </row>
    <row r="15" customFormat="false" ht="32.8" hidden="false" customHeight="false" outlineLevel="0" collapsed="false">
      <c r="A15" s="8" t="n">
        <v>12</v>
      </c>
      <c r="B15" s="9" t="s">
        <v>89</v>
      </c>
      <c r="C15" s="8" t="s">
        <v>83</v>
      </c>
      <c r="D15" s="8" t="s">
        <v>90</v>
      </c>
      <c r="E15" s="8" t="s">
        <v>91</v>
      </c>
      <c r="F15" s="10" t="s">
        <v>92</v>
      </c>
      <c r="G15" s="10" t="s">
        <v>93</v>
      </c>
      <c r="H15" s="11" t="s">
        <v>25</v>
      </c>
      <c r="I15" s="10" t="s">
        <v>94</v>
      </c>
    </row>
    <row r="16" customFormat="false" ht="22.35" hidden="false" customHeight="false" outlineLevel="0" collapsed="false">
      <c r="A16" s="4" t="n">
        <v>13</v>
      </c>
      <c r="B16" s="5" t="s">
        <v>95</v>
      </c>
      <c r="C16" s="4" t="s">
        <v>83</v>
      </c>
      <c r="D16" s="4" t="s">
        <v>96</v>
      </c>
      <c r="E16" s="4" t="s">
        <v>97</v>
      </c>
      <c r="F16" s="6" t="s">
        <v>98</v>
      </c>
      <c r="G16" s="6" t="s">
        <v>99</v>
      </c>
      <c r="H16" s="11" t="s">
        <v>25</v>
      </c>
      <c r="I16" s="6" t="s">
        <v>100</v>
      </c>
    </row>
    <row r="17" customFormat="false" ht="32.8" hidden="false" customHeight="false" outlineLevel="0" collapsed="false">
      <c r="A17" s="8" t="n">
        <v>14</v>
      </c>
      <c r="B17" s="9" t="s">
        <v>101</v>
      </c>
      <c r="C17" s="8" t="s">
        <v>102</v>
      </c>
      <c r="D17" s="8" t="s">
        <v>103</v>
      </c>
      <c r="E17" s="8" t="s">
        <v>104</v>
      </c>
      <c r="F17" s="10" t="s">
        <v>105</v>
      </c>
      <c r="G17" s="10" t="s">
        <v>106</v>
      </c>
      <c r="H17" s="12" t="s">
        <v>40</v>
      </c>
      <c r="I17" s="10" t="s">
        <v>107</v>
      </c>
    </row>
    <row r="18" customFormat="false" ht="22.35" hidden="false" customHeight="false" outlineLevel="0" collapsed="false">
      <c r="A18" s="4" t="n">
        <v>15</v>
      </c>
      <c r="B18" s="5" t="s">
        <v>108</v>
      </c>
      <c r="C18" s="4" t="s">
        <v>102</v>
      </c>
      <c r="D18" s="4" t="s">
        <v>109</v>
      </c>
      <c r="E18" s="4" t="s">
        <v>110</v>
      </c>
      <c r="F18" s="6" t="s">
        <v>111</v>
      </c>
      <c r="G18" s="6" t="s">
        <v>112</v>
      </c>
      <c r="H18" s="11" t="s">
        <v>25</v>
      </c>
      <c r="I18" s="6" t="s">
        <v>113</v>
      </c>
    </row>
    <row r="19" customFormat="false" ht="32.8" hidden="false" customHeight="false" outlineLevel="0" collapsed="false">
      <c r="A19" s="8" t="n">
        <v>16</v>
      </c>
      <c r="B19" s="9" t="s">
        <v>114</v>
      </c>
      <c r="C19" s="8" t="s">
        <v>115</v>
      </c>
      <c r="D19" s="8" t="s">
        <v>116</v>
      </c>
      <c r="E19" s="8" t="s">
        <v>117</v>
      </c>
      <c r="F19" s="10" t="s">
        <v>118</v>
      </c>
      <c r="G19" s="10" t="s">
        <v>119</v>
      </c>
      <c r="H19" s="11" t="s">
        <v>25</v>
      </c>
      <c r="I19" s="10" t="s">
        <v>120</v>
      </c>
    </row>
    <row r="20" customFormat="false" ht="22.35" hidden="false" customHeight="false" outlineLevel="0" collapsed="false">
      <c r="A20" s="4" t="n">
        <v>17</v>
      </c>
      <c r="B20" s="5" t="s">
        <v>121</v>
      </c>
      <c r="C20" s="4" t="s">
        <v>122</v>
      </c>
      <c r="D20" s="4" t="s">
        <v>123</v>
      </c>
      <c r="E20" s="4" t="s">
        <v>124</v>
      </c>
      <c r="F20" s="6" t="s">
        <v>125</v>
      </c>
      <c r="G20" s="6" t="s">
        <v>126</v>
      </c>
      <c r="H20" s="12" t="s">
        <v>40</v>
      </c>
      <c r="I20" s="6" t="s">
        <v>127</v>
      </c>
    </row>
    <row r="21" customFormat="false" ht="22.35" hidden="false" customHeight="false" outlineLevel="0" collapsed="false">
      <c r="A21" s="8" t="n">
        <v>18</v>
      </c>
      <c r="B21" s="9" t="s">
        <v>128</v>
      </c>
      <c r="C21" s="8" t="s">
        <v>102</v>
      </c>
      <c r="D21" s="8" t="s">
        <v>129</v>
      </c>
      <c r="E21" s="8" t="s">
        <v>130</v>
      </c>
      <c r="F21" s="10" t="s">
        <v>131</v>
      </c>
      <c r="G21" s="10" t="s">
        <v>132</v>
      </c>
      <c r="H21" s="12" t="s">
        <v>40</v>
      </c>
      <c r="I21" s="10" t="s">
        <v>133</v>
      </c>
    </row>
    <row r="22" customFormat="false" ht="22.35" hidden="false" customHeight="false" outlineLevel="0" collapsed="false">
      <c r="A22" s="4" t="n">
        <v>19</v>
      </c>
      <c r="B22" s="5" t="s">
        <v>134</v>
      </c>
      <c r="C22" s="4" t="s">
        <v>135</v>
      </c>
      <c r="D22" s="4" t="s">
        <v>136</v>
      </c>
      <c r="E22" s="4" t="s">
        <v>137</v>
      </c>
      <c r="F22" s="6" t="s">
        <v>138</v>
      </c>
      <c r="G22" s="6" t="s">
        <v>139</v>
      </c>
      <c r="H22" s="12" t="s">
        <v>40</v>
      </c>
      <c r="I22" s="6" t="s">
        <v>140</v>
      </c>
    </row>
    <row r="23" customFormat="false" ht="22.35" hidden="false" customHeight="false" outlineLevel="0" collapsed="false">
      <c r="A23" s="8" t="n">
        <v>20</v>
      </c>
      <c r="B23" s="9" t="s">
        <v>141</v>
      </c>
      <c r="C23" s="8" t="s">
        <v>142</v>
      </c>
      <c r="D23" s="8" t="s">
        <v>143</v>
      </c>
      <c r="E23" s="8" t="s">
        <v>144</v>
      </c>
      <c r="F23" s="10" t="s">
        <v>145</v>
      </c>
      <c r="G23" s="10" t="s">
        <v>146</v>
      </c>
      <c r="H23" s="12" t="s">
        <v>40</v>
      </c>
      <c r="I23" s="10" t="s">
        <v>133</v>
      </c>
    </row>
    <row r="24" customFormat="false" ht="32.8" hidden="false" customHeight="false" outlineLevel="0" collapsed="false">
      <c r="A24" s="4" t="n">
        <v>21</v>
      </c>
      <c r="B24" s="5" t="s">
        <v>147</v>
      </c>
      <c r="C24" s="4" t="s">
        <v>148</v>
      </c>
      <c r="D24" s="4" t="s">
        <v>149</v>
      </c>
      <c r="E24" s="4" t="s">
        <v>150</v>
      </c>
      <c r="F24" s="6" t="s">
        <v>151</v>
      </c>
      <c r="G24" s="6" t="s">
        <v>152</v>
      </c>
      <c r="H24" s="7" t="s">
        <v>17</v>
      </c>
      <c r="I24" s="6" t="s">
        <v>153</v>
      </c>
    </row>
    <row r="25" customFormat="false" ht="22.35" hidden="false" customHeight="false" outlineLevel="0" collapsed="false">
      <c r="A25" s="8" t="n">
        <v>22</v>
      </c>
      <c r="B25" s="9" t="s">
        <v>154</v>
      </c>
      <c r="C25" s="8" t="s">
        <v>148</v>
      </c>
      <c r="D25" s="8" t="s">
        <v>155</v>
      </c>
      <c r="E25" s="8" t="s">
        <v>156</v>
      </c>
      <c r="F25" s="10" t="s">
        <v>157</v>
      </c>
      <c r="G25" s="10" t="s">
        <v>158</v>
      </c>
      <c r="H25" s="11" t="s">
        <v>25</v>
      </c>
      <c r="I25" s="10" t="s">
        <v>159</v>
      </c>
    </row>
    <row r="26" customFormat="false" ht="22.35" hidden="false" customHeight="false" outlineLevel="0" collapsed="false">
      <c r="A26" s="4" t="n">
        <v>23</v>
      </c>
      <c r="B26" s="5" t="s">
        <v>160</v>
      </c>
      <c r="C26" s="4" t="s">
        <v>148</v>
      </c>
      <c r="D26" s="4" t="s">
        <v>161</v>
      </c>
      <c r="E26" s="4" t="s">
        <v>162</v>
      </c>
      <c r="F26" s="6" t="s">
        <v>163</v>
      </c>
      <c r="G26" s="6" t="s">
        <v>164</v>
      </c>
      <c r="H26" s="11" t="s">
        <v>25</v>
      </c>
      <c r="I26" s="6" t="s">
        <v>165</v>
      </c>
    </row>
    <row r="27" customFormat="false" ht="32.8" hidden="false" customHeight="false" outlineLevel="0" collapsed="false">
      <c r="A27" s="8" t="n">
        <v>24</v>
      </c>
      <c r="B27" s="9" t="s">
        <v>166</v>
      </c>
      <c r="C27" s="8" t="s">
        <v>167</v>
      </c>
      <c r="D27" s="8" t="s">
        <v>168</v>
      </c>
      <c r="E27" s="8" t="s">
        <v>169</v>
      </c>
      <c r="F27" s="10" t="s">
        <v>170</v>
      </c>
      <c r="G27" s="10" t="s">
        <v>171</v>
      </c>
      <c r="H27" s="7" t="s">
        <v>17</v>
      </c>
      <c r="I27" s="10" t="s">
        <v>172</v>
      </c>
    </row>
    <row r="28" customFormat="false" ht="22.35" hidden="false" customHeight="false" outlineLevel="0" collapsed="false">
      <c r="A28" s="4" t="n">
        <v>25</v>
      </c>
      <c r="B28" s="5" t="s">
        <v>173</v>
      </c>
      <c r="C28" s="4" t="s">
        <v>174</v>
      </c>
      <c r="D28" s="4" t="s">
        <v>175</v>
      </c>
      <c r="E28" s="4" t="s">
        <v>162</v>
      </c>
      <c r="F28" s="6" t="s">
        <v>176</v>
      </c>
      <c r="G28" s="6" t="s">
        <v>177</v>
      </c>
      <c r="H28" s="11" t="s">
        <v>25</v>
      </c>
      <c r="I28" s="6" t="s">
        <v>178</v>
      </c>
    </row>
    <row r="29" customFormat="false" ht="22.35" hidden="false" customHeight="false" outlineLevel="0" collapsed="false">
      <c r="A29" s="8" t="n">
        <v>26</v>
      </c>
      <c r="B29" s="9" t="s">
        <v>179</v>
      </c>
      <c r="C29" s="8" t="s">
        <v>180</v>
      </c>
      <c r="D29" s="8" t="s">
        <v>181</v>
      </c>
      <c r="E29" s="8" t="s">
        <v>162</v>
      </c>
      <c r="F29" s="10" t="s">
        <v>182</v>
      </c>
      <c r="G29" s="10" t="s">
        <v>183</v>
      </c>
      <c r="H29" s="7" t="s">
        <v>17</v>
      </c>
      <c r="I29" s="10" t="s">
        <v>184</v>
      </c>
    </row>
    <row r="30" customFormat="false" ht="22.35" hidden="false" customHeight="false" outlineLevel="0" collapsed="false">
      <c r="A30" s="4" t="n">
        <v>27</v>
      </c>
      <c r="B30" s="5" t="s">
        <v>185</v>
      </c>
      <c r="C30" s="4" t="s">
        <v>148</v>
      </c>
      <c r="D30" s="4" t="s">
        <v>186</v>
      </c>
      <c r="E30" s="4" t="s">
        <v>150</v>
      </c>
      <c r="F30" s="6" t="s">
        <v>187</v>
      </c>
      <c r="G30" s="6" t="s">
        <v>188</v>
      </c>
      <c r="H30" s="12" t="s">
        <v>40</v>
      </c>
      <c r="I30" s="6" t="s">
        <v>189</v>
      </c>
    </row>
    <row r="31" customFormat="false" ht="22.35" hidden="false" customHeight="false" outlineLevel="0" collapsed="false">
      <c r="A31" s="8" t="n">
        <v>28</v>
      </c>
      <c r="B31" s="9" t="s">
        <v>190</v>
      </c>
      <c r="C31" s="8" t="s">
        <v>148</v>
      </c>
      <c r="D31" s="8" t="s">
        <v>191</v>
      </c>
      <c r="E31" s="8" t="s">
        <v>192</v>
      </c>
      <c r="F31" s="10" t="s">
        <v>193</v>
      </c>
      <c r="G31" s="10" t="s">
        <v>194</v>
      </c>
      <c r="H31" s="11" t="s">
        <v>25</v>
      </c>
      <c r="I31" s="10" t="s">
        <v>195</v>
      </c>
    </row>
    <row r="32" customFormat="false" ht="15" hidden="false" customHeight="false" outlineLevel="0" collapsed="false">
      <c r="A32" s="4" t="n">
        <v>29</v>
      </c>
      <c r="B32" s="5" t="s">
        <v>196</v>
      </c>
      <c r="C32" s="4" t="s">
        <v>148</v>
      </c>
      <c r="D32" s="4" t="s">
        <v>197</v>
      </c>
      <c r="E32" s="4" t="s">
        <v>198</v>
      </c>
      <c r="F32" s="6" t="s">
        <v>199</v>
      </c>
      <c r="G32" s="6" t="s">
        <v>200</v>
      </c>
      <c r="H32" s="12" t="s">
        <v>40</v>
      </c>
      <c r="I32" s="6" t="s">
        <v>133</v>
      </c>
    </row>
    <row r="33" customFormat="false" ht="22.35" hidden="false" customHeight="false" outlineLevel="0" collapsed="false">
      <c r="A33" s="8" t="n">
        <v>30</v>
      </c>
      <c r="B33" s="9" t="s">
        <v>201</v>
      </c>
      <c r="C33" s="8" t="s">
        <v>148</v>
      </c>
      <c r="D33" s="8" t="s">
        <v>202</v>
      </c>
      <c r="E33" s="8" t="s">
        <v>203</v>
      </c>
      <c r="F33" s="10" t="s">
        <v>204</v>
      </c>
      <c r="G33" s="10" t="s">
        <v>205</v>
      </c>
      <c r="H33" s="12" t="s">
        <v>40</v>
      </c>
      <c r="I33" s="10" t="s">
        <v>206</v>
      </c>
    </row>
    <row r="34" customFormat="false" ht="32.8" hidden="false" customHeight="false" outlineLevel="0" collapsed="false">
      <c r="A34" s="4" t="n">
        <v>31</v>
      </c>
      <c r="B34" s="5" t="s">
        <v>207</v>
      </c>
      <c r="C34" s="4" t="s">
        <v>208</v>
      </c>
      <c r="D34" s="4" t="s">
        <v>209</v>
      </c>
      <c r="E34" s="4" t="s">
        <v>210</v>
      </c>
      <c r="F34" s="6" t="s">
        <v>211</v>
      </c>
      <c r="G34" s="6" t="s">
        <v>212</v>
      </c>
      <c r="H34" s="7" t="s">
        <v>17</v>
      </c>
      <c r="I34" s="6" t="s">
        <v>213</v>
      </c>
    </row>
    <row r="35" customFormat="false" ht="22.35" hidden="false" customHeight="false" outlineLevel="0" collapsed="false">
      <c r="A35" s="8" t="n">
        <v>32</v>
      </c>
      <c r="B35" s="9" t="s">
        <v>214</v>
      </c>
      <c r="C35" s="8" t="s">
        <v>208</v>
      </c>
      <c r="D35" s="8" t="s">
        <v>215</v>
      </c>
      <c r="E35" s="8" t="s">
        <v>216</v>
      </c>
      <c r="F35" s="10" t="s">
        <v>217</v>
      </c>
      <c r="G35" s="10" t="s">
        <v>218</v>
      </c>
      <c r="H35" s="11" t="s">
        <v>25</v>
      </c>
      <c r="I35" s="10" t="s">
        <v>219</v>
      </c>
    </row>
    <row r="36" customFormat="false" ht="22.35" hidden="false" customHeight="false" outlineLevel="0" collapsed="false">
      <c r="A36" s="4" t="n">
        <v>33</v>
      </c>
      <c r="B36" s="5" t="s">
        <v>220</v>
      </c>
      <c r="C36" s="4" t="s">
        <v>221</v>
      </c>
      <c r="D36" s="4" t="s">
        <v>222</v>
      </c>
      <c r="E36" s="4" t="s">
        <v>223</v>
      </c>
      <c r="F36" s="6" t="s">
        <v>224</v>
      </c>
      <c r="G36" s="6" t="s">
        <v>225</v>
      </c>
      <c r="H36" s="12" t="s">
        <v>40</v>
      </c>
      <c r="I36" s="6" t="s">
        <v>226</v>
      </c>
    </row>
    <row r="37" customFormat="false" ht="22.35" hidden="false" customHeight="false" outlineLevel="0" collapsed="false">
      <c r="A37" s="8" t="n">
        <v>34</v>
      </c>
      <c r="B37" s="9" t="s">
        <v>227</v>
      </c>
      <c r="C37" s="8" t="s">
        <v>228</v>
      </c>
      <c r="D37" s="8" t="s">
        <v>229</v>
      </c>
      <c r="E37" s="8" t="s">
        <v>230</v>
      </c>
      <c r="F37" s="10" t="s">
        <v>231</v>
      </c>
      <c r="G37" s="10" t="s">
        <v>232</v>
      </c>
      <c r="H37" s="11" t="s">
        <v>25</v>
      </c>
      <c r="I37" s="10" t="s">
        <v>233</v>
      </c>
    </row>
    <row r="38" customFormat="false" ht="22.35" hidden="false" customHeight="false" outlineLevel="0" collapsed="false">
      <c r="A38" s="4" t="n">
        <v>35</v>
      </c>
      <c r="B38" s="5" t="s">
        <v>234</v>
      </c>
      <c r="C38" s="4" t="s">
        <v>221</v>
      </c>
      <c r="D38" s="4" t="s">
        <v>235</v>
      </c>
      <c r="E38" s="4" t="s">
        <v>236</v>
      </c>
      <c r="F38" s="6" t="s">
        <v>237</v>
      </c>
      <c r="G38" s="6" t="s">
        <v>238</v>
      </c>
      <c r="H38" s="12" t="s">
        <v>40</v>
      </c>
      <c r="I38" s="6" t="s">
        <v>239</v>
      </c>
    </row>
    <row r="39" customFormat="false" ht="15" hidden="false" customHeight="false" outlineLevel="0" collapsed="false">
      <c r="A39" s="8" t="n">
        <v>36</v>
      </c>
      <c r="B39" s="9" t="s">
        <v>240</v>
      </c>
      <c r="C39" s="8" t="s">
        <v>221</v>
      </c>
      <c r="D39" s="8" t="s">
        <v>241</v>
      </c>
      <c r="E39" s="8" t="s">
        <v>242</v>
      </c>
      <c r="F39" s="10" t="s">
        <v>243</v>
      </c>
      <c r="G39" s="10" t="s">
        <v>244</v>
      </c>
      <c r="H39" s="12" t="s">
        <v>40</v>
      </c>
      <c r="I39" s="10" t="s">
        <v>245</v>
      </c>
    </row>
    <row r="40" customFormat="false" ht="15" hidden="false" customHeight="false" outlineLevel="0" collapsed="false">
      <c r="A40" s="4" t="n">
        <v>37</v>
      </c>
      <c r="B40" s="5" t="s">
        <v>246</v>
      </c>
      <c r="C40" s="4" t="s">
        <v>247</v>
      </c>
      <c r="D40" s="4" t="s">
        <v>248</v>
      </c>
      <c r="E40" s="4" t="s">
        <v>249</v>
      </c>
      <c r="F40" s="6" t="s">
        <v>250</v>
      </c>
      <c r="G40" s="6" t="s">
        <v>251</v>
      </c>
      <c r="H40" s="12" t="s">
        <v>40</v>
      </c>
      <c r="I40" s="6" t="s">
        <v>252</v>
      </c>
    </row>
    <row r="41" customFormat="false" ht="22.35" hidden="false" customHeight="false" outlineLevel="0" collapsed="false">
      <c r="A41" s="8" t="n">
        <v>38</v>
      </c>
      <c r="B41" s="9" t="s">
        <v>253</v>
      </c>
      <c r="C41" s="8" t="s">
        <v>208</v>
      </c>
      <c r="D41" s="8" t="s">
        <v>254</v>
      </c>
      <c r="E41" s="8" t="s">
        <v>255</v>
      </c>
      <c r="F41" s="10" t="s">
        <v>256</v>
      </c>
      <c r="G41" s="10" t="s">
        <v>257</v>
      </c>
      <c r="H41" s="12" t="s">
        <v>40</v>
      </c>
      <c r="I41" s="10" t="s">
        <v>258</v>
      </c>
    </row>
    <row r="42" customFormat="false" ht="15" hidden="false" customHeight="false" outlineLevel="0" collapsed="false">
      <c r="A42" s="4" t="n">
        <v>39</v>
      </c>
      <c r="B42" s="5" t="s">
        <v>259</v>
      </c>
      <c r="C42" s="4" t="s">
        <v>208</v>
      </c>
      <c r="D42" s="4" t="s">
        <v>260</v>
      </c>
      <c r="E42" s="4" t="s">
        <v>162</v>
      </c>
      <c r="F42" s="6" t="s">
        <v>261</v>
      </c>
      <c r="G42" s="6" t="s">
        <v>262</v>
      </c>
      <c r="H42" s="12" t="s">
        <v>40</v>
      </c>
      <c r="I42" s="6" t="s">
        <v>133</v>
      </c>
    </row>
    <row r="43" customFormat="false" ht="15" hidden="false" customHeight="false" outlineLevel="0" collapsed="false">
      <c r="A43" s="8" t="n">
        <v>40</v>
      </c>
      <c r="B43" s="9" t="s">
        <v>263</v>
      </c>
      <c r="C43" s="8" t="s">
        <v>208</v>
      </c>
      <c r="D43" s="8" t="s">
        <v>264</v>
      </c>
      <c r="E43" s="8" t="s">
        <v>265</v>
      </c>
      <c r="F43" s="10" t="s">
        <v>266</v>
      </c>
      <c r="G43" s="10" t="s">
        <v>267</v>
      </c>
      <c r="H43" s="11" t="s">
        <v>25</v>
      </c>
      <c r="I43" s="10" t="s">
        <v>268</v>
      </c>
    </row>
    <row r="44" customFormat="false" ht="32.8" hidden="false" customHeight="false" outlineLevel="0" collapsed="false">
      <c r="A44" s="4" t="n">
        <v>41</v>
      </c>
      <c r="B44" s="5" t="s">
        <v>269</v>
      </c>
      <c r="C44" s="4" t="s">
        <v>270</v>
      </c>
      <c r="D44" s="4" t="s">
        <v>271</v>
      </c>
      <c r="E44" s="4" t="s">
        <v>272</v>
      </c>
      <c r="F44" s="6" t="s">
        <v>273</v>
      </c>
      <c r="G44" s="6" t="s">
        <v>274</v>
      </c>
      <c r="H44" s="7" t="s">
        <v>17</v>
      </c>
      <c r="I44" s="6" t="s">
        <v>275</v>
      </c>
    </row>
    <row r="45" customFormat="false" ht="22.35" hidden="false" customHeight="false" outlineLevel="0" collapsed="false">
      <c r="A45" s="8" t="n">
        <v>42</v>
      </c>
      <c r="B45" s="9" t="s">
        <v>276</v>
      </c>
      <c r="C45" s="8" t="s">
        <v>277</v>
      </c>
      <c r="D45" s="8" t="s">
        <v>278</v>
      </c>
      <c r="E45" s="8" t="s">
        <v>279</v>
      </c>
      <c r="F45" s="10" t="s">
        <v>280</v>
      </c>
      <c r="G45" s="10" t="s">
        <v>281</v>
      </c>
      <c r="H45" s="7" t="s">
        <v>17</v>
      </c>
      <c r="I45" s="10" t="s">
        <v>282</v>
      </c>
    </row>
    <row r="46" customFormat="false" ht="22.35" hidden="false" customHeight="false" outlineLevel="0" collapsed="false">
      <c r="A46" s="4" t="n">
        <v>43</v>
      </c>
      <c r="B46" s="5" t="s">
        <v>283</v>
      </c>
      <c r="C46" s="4" t="s">
        <v>284</v>
      </c>
      <c r="D46" s="4" t="s">
        <v>285</v>
      </c>
      <c r="E46" s="4" t="s">
        <v>286</v>
      </c>
      <c r="F46" s="6" t="s">
        <v>287</v>
      </c>
      <c r="G46" s="6" t="s">
        <v>288</v>
      </c>
      <c r="H46" s="11" t="s">
        <v>25</v>
      </c>
      <c r="I46" s="6" t="s">
        <v>289</v>
      </c>
    </row>
    <row r="47" customFormat="false" ht="22.35" hidden="false" customHeight="false" outlineLevel="0" collapsed="false">
      <c r="A47" s="8" t="n">
        <v>44</v>
      </c>
      <c r="B47" s="9" t="s">
        <v>290</v>
      </c>
      <c r="C47" s="8" t="s">
        <v>291</v>
      </c>
      <c r="D47" s="8" t="s">
        <v>292</v>
      </c>
      <c r="E47" s="8" t="s">
        <v>293</v>
      </c>
      <c r="F47" s="10" t="s">
        <v>294</v>
      </c>
      <c r="G47" s="10" t="s">
        <v>295</v>
      </c>
      <c r="H47" s="11" t="s">
        <v>25</v>
      </c>
      <c r="I47" s="10" t="s">
        <v>296</v>
      </c>
    </row>
    <row r="48" customFormat="false" ht="22.35" hidden="false" customHeight="false" outlineLevel="0" collapsed="false">
      <c r="A48" s="4" t="n">
        <v>45</v>
      </c>
      <c r="B48" s="5" t="s">
        <v>297</v>
      </c>
      <c r="C48" s="4" t="s">
        <v>298</v>
      </c>
      <c r="D48" s="4" t="s">
        <v>299</v>
      </c>
      <c r="E48" s="4" t="s">
        <v>300</v>
      </c>
      <c r="F48" s="6" t="s">
        <v>301</v>
      </c>
      <c r="G48" s="6" t="s">
        <v>302</v>
      </c>
      <c r="H48" s="11" t="s">
        <v>25</v>
      </c>
      <c r="I48" s="6" t="s">
        <v>303</v>
      </c>
    </row>
    <row r="49" customFormat="false" ht="22.35" hidden="false" customHeight="false" outlineLevel="0" collapsed="false">
      <c r="A49" s="8" t="n">
        <v>46</v>
      </c>
      <c r="B49" s="9" t="s">
        <v>304</v>
      </c>
      <c r="C49" s="8" t="s">
        <v>305</v>
      </c>
      <c r="D49" s="8" t="s">
        <v>306</v>
      </c>
      <c r="E49" s="8" t="s">
        <v>307</v>
      </c>
      <c r="F49" s="10" t="s">
        <v>308</v>
      </c>
      <c r="G49" s="10" t="s">
        <v>309</v>
      </c>
      <c r="H49" s="11" t="s">
        <v>25</v>
      </c>
      <c r="I49" s="10" t="s">
        <v>310</v>
      </c>
    </row>
    <row r="50" customFormat="false" ht="15" hidden="false" customHeight="false" outlineLevel="0" collapsed="false">
      <c r="A50" s="4" t="n">
        <v>47</v>
      </c>
      <c r="B50" s="5" t="s">
        <v>311</v>
      </c>
      <c r="C50" s="4" t="s">
        <v>312</v>
      </c>
      <c r="D50" s="4" t="s">
        <v>313</v>
      </c>
      <c r="E50" s="4" t="s">
        <v>314</v>
      </c>
      <c r="F50" s="6" t="s">
        <v>315</v>
      </c>
      <c r="G50" s="6" t="s">
        <v>316</v>
      </c>
      <c r="H50" s="12" t="s">
        <v>40</v>
      </c>
      <c r="I50" s="6" t="s">
        <v>133</v>
      </c>
    </row>
    <row r="51" customFormat="false" ht="22.35" hidden="false" customHeight="false" outlineLevel="0" collapsed="false">
      <c r="A51" s="8" t="n">
        <v>48</v>
      </c>
      <c r="B51" s="9" t="s">
        <v>317</v>
      </c>
      <c r="C51" s="8" t="s">
        <v>318</v>
      </c>
      <c r="D51" s="8" t="s">
        <v>319</v>
      </c>
      <c r="E51" s="8" t="s">
        <v>320</v>
      </c>
      <c r="F51" s="10" t="s">
        <v>321</v>
      </c>
      <c r="G51" s="10" t="s">
        <v>322</v>
      </c>
      <c r="H51" s="12" t="s">
        <v>40</v>
      </c>
      <c r="I51" s="10" t="s">
        <v>323</v>
      </c>
    </row>
    <row r="52" customFormat="false" ht="15" hidden="false" customHeight="false" outlineLevel="0" collapsed="false">
      <c r="A52" s="4" t="n">
        <v>49</v>
      </c>
      <c r="B52" s="5" t="s">
        <v>324</v>
      </c>
      <c r="C52" s="4" t="s">
        <v>325</v>
      </c>
      <c r="D52" s="4" t="s">
        <v>326</v>
      </c>
      <c r="E52" s="4" t="s">
        <v>327</v>
      </c>
      <c r="F52" s="6" t="s">
        <v>328</v>
      </c>
      <c r="G52" s="6" t="s">
        <v>329</v>
      </c>
      <c r="H52" s="12" t="s">
        <v>40</v>
      </c>
      <c r="I52" s="6" t="s">
        <v>330</v>
      </c>
    </row>
    <row r="53" customFormat="false" ht="22.35" hidden="false" customHeight="false" outlineLevel="0" collapsed="false">
      <c r="A53" s="8" t="n">
        <v>50</v>
      </c>
      <c r="B53" s="9" t="s">
        <v>331</v>
      </c>
      <c r="C53" s="8" t="s">
        <v>332</v>
      </c>
      <c r="D53" s="8" t="s">
        <v>333</v>
      </c>
      <c r="E53" s="8" t="s">
        <v>334</v>
      </c>
      <c r="F53" s="10" t="s">
        <v>335</v>
      </c>
      <c r="G53" s="10" t="s">
        <v>336</v>
      </c>
      <c r="H53" s="11" t="s">
        <v>25</v>
      </c>
      <c r="I53" s="10" t="s">
        <v>337</v>
      </c>
    </row>
    <row r="54" customFormat="false" ht="32.8" hidden="false" customHeight="false" outlineLevel="0" collapsed="false">
      <c r="A54" s="4" t="n">
        <v>51</v>
      </c>
      <c r="B54" s="5" t="s">
        <v>338</v>
      </c>
      <c r="C54" s="4" t="s">
        <v>339</v>
      </c>
      <c r="D54" s="4" t="s">
        <v>340</v>
      </c>
      <c r="E54" s="4" t="s">
        <v>341</v>
      </c>
      <c r="F54" s="6" t="s">
        <v>342</v>
      </c>
      <c r="G54" s="6" t="s">
        <v>343</v>
      </c>
      <c r="H54" s="7" t="s">
        <v>17</v>
      </c>
      <c r="I54" s="6" t="s">
        <v>344</v>
      </c>
    </row>
    <row r="55" customFormat="false" ht="32.8" hidden="false" customHeight="false" outlineLevel="0" collapsed="false">
      <c r="A55" s="8" t="n">
        <v>52</v>
      </c>
      <c r="B55" s="9" t="s">
        <v>345</v>
      </c>
      <c r="C55" s="8" t="s">
        <v>346</v>
      </c>
      <c r="D55" s="8" t="s">
        <v>347</v>
      </c>
      <c r="E55" s="8" t="s">
        <v>345</v>
      </c>
      <c r="F55" s="10" t="s">
        <v>348</v>
      </c>
      <c r="G55" s="10" t="s">
        <v>349</v>
      </c>
      <c r="H55" s="7" t="s">
        <v>17</v>
      </c>
      <c r="I55" s="10" t="s">
        <v>350</v>
      </c>
    </row>
    <row r="56" customFormat="false" ht="22.35" hidden="false" customHeight="false" outlineLevel="0" collapsed="false">
      <c r="A56" s="4" t="n">
        <v>53</v>
      </c>
      <c r="B56" s="5" t="s">
        <v>351</v>
      </c>
      <c r="C56" s="4" t="s">
        <v>352</v>
      </c>
      <c r="D56" s="4" t="s">
        <v>353</v>
      </c>
      <c r="E56" s="4" t="s">
        <v>354</v>
      </c>
      <c r="F56" s="6" t="s">
        <v>355</v>
      </c>
      <c r="G56" s="6" t="s">
        <v>356</v>
      </c>
      <c r="H56" s="11" t="s">
        <v>25</v>
      </c>
      <c r="I56" s="6" t="s">
        <v>357</v>
      </c>
    </row>
    <row r="57" customFormat="false" ht="22.35" hidden="false" customHeight="false" outlineLevel="0" collapsed="false">
      <c r="A57" s="8" t="n">
        <v>54</v>
      </c>
      <c r="B57" s="9" t="s">
        <v>358</v>
      </c>
      <c r="C57" s="8" t="s">
        <v>339</v>
      </c>
      <c r="D57" s="8" t="s">
        <v>359</v>
      </c>
      <c r="E57" s="8" t="s">
        <v>360</v>
      </c>
      <c r="F57" s="10" t="s">
        <v>361</v>
      </c>
      <c r="G57" s="10" t="s">
        <v>362</v>
      </c>
      <c r="H57" s="11" t="s">
        <v>25</v>
      </c>
      <c r="I57" s="10" t="s">
        <v>363</v>
      </c>
    </row>
    <row r="58" customFormat="false" ht="22.35" hidden="false" customHeight="false" outlineLevel="0" collapsed="false">
      <c r="A58" s="4" t="n">
        <v>55</v>
      </c>
      <c r="B58" s="5" t="s">
        <v>364</v>
      </c>
      <c r="C58" s="4" t="s">
        <v>365</v>
      </c>
      <c r="D58" s="4" t="s">
        <v>366</v>
      </c>
      <c r="E58" s="4" t="s">
        <v>367</v>
      </c>
      <c r="F58" s="6" t="s">
        <v>368</v>
      </c>
      <c r="G58" s="6" t="s">
        <v>369</v>
      </c>
      <c r="H58" s="11" t="s">
        <v>25</v>
      </c>
      <c r="I58" s="6" t="s">
        <v>370</v>
      </c>
    </row>
    <row r="59" customFormat="false" ht="22.35" hidden="false" customHeight="false" outlineLevel="0" collapsed="false">
      <c r="A59" s="8" t="n">
        <v>56</v>
      </c>
      <c r="B59" s="9" t="s">
        <v>371</v>
      </c>
      <c r="C59" s="8" t="s">
        <v>372</v>
      </c>
      <c r="D59" s="8" t="s">
        <v>373</v>
      </c>
      <c r="E59" s="8" t="s">
        <v>374</v>
      </c>
      <c r="F59" s="10" t="s">
        <v>375</v>
      </c>
      <c r="G59" s="10" t="s">
        <v>376</v>
      </c>
      <c r="H59" s="7" t="s">
        <v>17</v>
      </c>
      <c r="I59" s="10" t="s">
        <v>377</v>
      </c>
    </row>
    <row r="60" customFormat="false" ht="22.35" hidden="false" customHeight="false" outlineLevel="0" collapsed="false">
      <c r="A60" s="4" t="n">
        <v>57</v>
      </c>
      <c r="B60" s="5" t="s">
        <v>378</v>
      </c>
      <c r="C60" s="4" t="s">
        <v>379</v>
      </c>
      <c r="D60" s="4" t="s">
        <v>380</v>
      </c>
      <c r="E60" s="4" t="s">
        <v>381</v>
      </c>
      <c r="F60" s="6" t="s">
        <v>382</v>
      </c>
      <c r="G60" s="6" t="s">
        <v>383</v>
      </c>
      <c r="H60" s="12" t="s">
        <v>40</v>
      </c>
      <c r="I60" s="6" t="s">
        <v>133</v>
      </c>
    </row>
    <row r="61" customFormat="false" ht="22.35" hidden="false" customHeight="false" outlineLevel="0" collapsed="false">
      <c r="A61" s="8" t="n">
        <v>58</v>
      </c>
      <c r="B61" s="9" t="s">
        <v>384</v>
      </c>
      <c r="C61" s="8" t="s">
        <v>385</v>
      </c>
      <c r="D61" s="8" t="s">
        <v>386</v>
      </c>
      <c r="E61" s="8" t="s">
        <v>387</v>
      </c>
      <c r="F61" s="10" t="s">
        <v>388</v>
      </c>
      <c r="G61" s="10" t="s">
        <v>389</v>
      </c>
      <c r="H61" s="12" t="s">
        <v>40</v>
      </c>
      <c r="I61" s="10" t="s">
        <v>133</v>
      </c>
    </row>
    <row r="62" customFormat="false" ht="15" hidden="false" customHeight="false" outlineLevel="0" collapsed="false">
      <c r="A62" s="4" t="n">
        <v>59</v>
      </c>
      <c r="B62" s="5" t="s">
        <v>390</v>
      </c>
      <c r="C62" s="4" t="s">
        <v>339</v>
      </c>
      <c r="D62" s="4" t="s">
        <v>391</v>
      </c>
      <c r="E62" s="4" t="s">
        <v>392</v>
      </c>
      <c r="F62" s="6" t="s">
        <v>393</v>
      </c>
      <c r="G62" s="6" t="s">
        <v>394</v>
      </c>
      <c r="H62" s="12" t="s">
        <v>40</v>
      </c>
      <c r="I62" s="6" t="s">
        <v>133</v>
      </c>
    </row>
    <row r="63" customFormat="false" ht="22.35" hidden="false" customHeight="false" outlineLevel="0" collapsed="false">
      <c r="A63" s="8" t="n">
        <v>60</v>
      </c>
      <c r="B63" s="9" t="s">
        <v>395</v>
      </c>
      <c r="C63" s="8" t="s">
        <v>396</v>
      </c>
      <c r="D63" s="8" t="s">
        <v>397</v>
      </c>
      <c r="E63" s="8" t="s">
        <v>398</v>
      </c>
      <c r="F63" s="10" t="s">
        <v>399</v>
      </c>
      <c r="G63" s="10" t="s">
        <v>329</v>
      </c>
      <c r="H63" s="12" t="s">
        <v>40</v>
      </c>
      <c r="I63" s="10" t="s">
        <v>400</v>
      </c>
    </row>
    <row r="64" customFormat="false" ht="32.8" hidden="false" customHeight="false" outlineLevel="0" collapsed="false">
      <c r="A64" s="4" t="n">
        <v>61</v>
      </c>
      <c r="B64" s="5" t="s">
        <v>401</v>
      </c>
      <c r="C64" s="4" t="s">
        <v>402</v>
      </c>
      <c r="D64" s="4" t="s">
        <v>403</v>
      </c>
      <c r="E64" s="4" t="s">
        <v>404</v>
      </c>
      <c r="F64" s="6" t="s">
        <v>405</v>
      </c>
      <c r="G64" s="6" t="s">
        <v>406</v>
      </c>
      <c r="H64" s="11" t="s">
        <v>25</v>
      </c>
      <c r="I64" s="6" t="s">
        <v>407</v>
      </c>
    </row>
    <row r="65" customFormat="false" ht="32.8" hidden="false" customHeight="false" outlineLevel="0" collapsed="false">
      <c r="A65" s="8" t="n">
        <v>62</v>
      </c>
      <c r="B65" s="9" t="s">
        <v>408</v>
      </c>
      <c r="C65" s="8" t="s">
        <v>409</v>
      </c>
      <c r="D65" s="8" t="s">
        <v>410</v>
      </c>
      <c r="E65" s="8" t="s">
        <v>411</v>
      </c>
      <c r="F65" s="10" t="s">
        <v>412</v>
      </c>
      <c r="G65" s="10" t="s">
        <v>413</v>
      </c>
      <c r="H65" s="11" t="s">
        <v>25</v>
      </c>
      <c r="I65" s="10" t="s">
        <v>414</v>
      </c>
    </row>
    <row r="66" customFormat="false" ht="22.35" hidden="false" customHeight="false" outlineLevel="0" collapsed="false">
      <c r="A66" s="4" t="n">
        <v>63</v>
      </c>
      <c r="B66" s="5" t="s">
        <v>415</v>
      </c>
      <c r="C66" s="4" t="s">
        <v>416</v>
      </c>
      <c r="D66" s="4" t="s">
        <v>417</v>
      </c>
      <c r="E66" s="4" t="s">
        <v>418</v>
      </c>
      <c r="F66" s="6" t="s">
        <v>419</v>
      </c>
      <c r="G66" s="6" t="s">
        <v>420</v>
      </c>
      <c r="H66" s="11" t="s">
        <v>25</v>
      </c>
      <c r="I66" s="6" t="s">
        <v>421</v>
      </c>
    </row>
    <row r="67" customFormat="false" ht="22.35" hidden="false" customHeight="false" outlineLevel="0" collapsed="false">
      <c r="A67" s="8" t="n">
        <v>64</v>
      </c>
      <c r="B67" s="9" t="s">
        <v>422</v>
      </c>
      <c r="C67" s="8" t="s">
        <v>409</v>
      </c>
      <c r="D67" s="8" t="s">
        <v>423</v>
      </c>
      <c r="E67" s="8" t="s">
        <v>424</v>
      </c>
      <c r="F67" s="10" t="s">
        <v>425</v>
      </c>
      <c r="G67" s="10" t="s">
        <v>426</v>
      </c>
      <c r="H67" s="11" t="s">
        <v>25</v>
      </c>
      <c r="I67" s="10" t="s">
        <v>427</v>
      </c>
    </row>
    <row r="68" customFormat="false" ht="15" hidden="false" customHeight="false" outlineLevel="0" collapsed="false">
      <c r="A68" s="4" t="n">
        <v>65</v>
      </c>
      <c r="B68" s="5" t="s">
        <v>428</v>
      </c>
      <c r="C68" s="4" t="s">
        <v>402</v>
      </c>
      <c r="D68" s="4" t="s">
        <v>429</v>
      </c>
      <c r="E68" s="4" t="s">
        <v>430</v>
      </c>
      <c r="F68" s="6" t="s">
        <v>431</v>
      </c>
      <c r="G68" s="6" t="s">
        <v>432</v>
      </c>
      <c r="H68" s="12" t="s">
        <v>40</v>
      </c>
      <c r="I68" s="6" t="s">
        <v>433</v>
      </c>
    </row>
    <row r="69" customFormat="false" ht="22.35" hidden="false" customHeight="false" outlineLevel="0" collapsed="false">
      <c r="A69" s="8" t="n">
        <v>66</v>
      </c>
      <c r="B69" s="9" t="s">
        <v>434</v>
      </c>
      <c r="C69" s="8" t="s">
        <v>435</v>
      </c>
      <c r="D69" s="8" t="s">
        <v>436</v>
      </c>
      <c r="E69" s="8" t="s">
        <v>437</v>
      </c>
      <c r="F69" s="10" t="s">
        <v>438</v>
      </c>
      <c r="G69" s="10" t="s">
        <v>439</v>
      </c>
      <c r="H69" s="11" t="s">
        <v>25</v>
      </c>
      <c r="I69" s="10" t="s">
        <v>440</v>
      </c>
    </row>
    <row r="70" customFormat="false" ht="22.35" hidden="false" customHeight="false" outlineLevel="0" collapsed="false">
      <c r="A70" s="4" t="n">
        <v>67</v>
      </c>
      <c r="B70" s="5" t="s">
        <v>441</v>
      </c>
      <c r="C70" s="4" t="s">
        <v>402</v>
      </c>
      <c r="D70" s="4" t="s">
        <v>442</v>
      </c>
      <c r="E70" s="4" t="s">
        <v>443</v>
      </c>
      <c r="F70" s="6" t="s">
        <v>444</v>
      </c>
      <c r="G70" s="6" t="s">
        <v>445</v>
      </c>
      <c r="H70" s="12" t="s">
        <v>40</v>
      </c>
      <c r="I70" s="6" t="s">
        <v>446</v>
      </c>
    </row>
    <row r="71" customFormat="false" ht="15" hidden="false" customHeight="false" outlineLevel="0" collapsed="false">
      <c r="A71" s="8" t="n">
        <v>68</v>
      </c>
      <c r="B71" s="9" t="s">
        <v>447</v>
      </c>
      <c r="C71" s="8" t="s">
        <v>402</v>
      </c>
      <c r="D71" s="8" t="s">
        <v>448</v>
      </c>
      <c r="E71" s="8" t="s">
        <v>449</v>
      </c>
      <c r="F71" s="10" t="s">
        <v>450</v>
      </c>
      <c r="G71" s="10" t="s">
        <v>451</v>
      </c>
      <c r="H71" s="12" t="s">
        <v>40</v>
      </c>
      <c r="I71" s="10" t="s">
        <v>446</v>
      </c>
    </row>
    <row r="72" customFormat="false" ht="15" hidden="false" customHeight="false" outlineLevel="0" collapsed="false">
      <c r="A72" s="4" t="n">
        <v>69</v>
      </c>
      <c r="B72" s="5" t="s">
        <v>452</v>
      </c>
      <c r="C72" s="4" t="s">
        <v>402</v>
      </c>
      <c r="D72" s="4" t="s">
        <v>453</v>
      </c>
      <c r="E72" s="4" t="s">
        <v>454</v>
      </c>
      <c r="F72" s="6" t="s">
        <v>455</v>
      </c>
      <c r="G72" s="6" t="s">
        <v>456</v>
      </c>
      <c r="H72" s="12" t="s">
        <v>40</v>
      </c>
      <c r="I72" s="6" t="s">
        <v>457</v>
      </c>
    </row>
    <row r="73" customFormat="false" ht="22.35" hidden="false" customHeight="false" outlineLevel="0" collapsed="false">
      <c r="A73" s="8" t="n">
        <v>70</v>
      </c>
      <c r="B73" s="9" t="s">
        <v>458</v>
      </c>
      <c r="C73" s="8" t="s">
        <v>409</v>
      </c>
      <c r="D73" s="8" t="s">
        <v>459</v>
      </c>
      <c r="E73" s="8" t="s">
        <v>460</v>
      </c>
      <c r="F73" s="10" t="s">
        <v>461</v>
      </c>
      <c r="G73" s="10" t="s">
        <v>462</v>
      </c>
      <c r="H73" s="12" t="s">
        <v>40</v>
      </c>
      <c r="I73" s="10" t="s">
        <v>463</v>
      </c>
    </row>
    <row r="74" customFormat="false" ht="32.8" hidden="false" customHeight="false" outlineLevel="0" collapsed="false">
      <c r="A74" s="4" t="n">
        <v>71</v>
      </c>
      <c r="B74" s="5" t="s">
        <v>464</v>
      </c>
      <c r="C74" s="4" t="s">
        <v>465</v>
      </c>
      <c r="D74" s="4" t="s">
        <v>466</v>
      </c>
      <c r="E74" s="4" t="s">
        <v>467</v>
      </c>
      <c r="F74" s="6" t="s">
        <v>468</v>
      </c>
      <c r="G74" s="6" t="s">
        <v>469</v>
      </c>
      <c r="H74" s="7" t="s">
        <v>17</v>
      </c>
      <c r="I74" s="6" t="s">
        <v>470</v>
      </c>
    </row>
    <row r="75" customFormat="false" ht="43.25" hidden="false" customHeight="false" outlineLevel="0" collapsed="false">
      <c r="A75" s="8" t="n">
        <v>72</v>
      </c>
      <c r="B75" s="9" t="s">
        <v>471</v>
      </c>
      <c r="C75" s="8" t="s">
        <v>472</v>
      </c>
      <c r="D75" s="8" t="s">
        <v>473</v>
      </c>
      <c r="E75" s="8" t="s">
        <v>474</v>
      </c>
      <c r="F75" s="10" t="s">
        <v>475</v>
      </c>
      <c r="G75" s="10" t="s">
        <v>476</v>
      </c>
      <c r="H75" s="7" t="s">
        <v>17</v>
      </c>
      <c r="I75" s="10" t="s">
        <v>477</v>
      </c>
    </row>
    <row r="76" customFormat="false" ht="22.35" hidden="false" customHeight="false" outlineLevel="0" collapsed="false">
      <c r="A76" s="4" t="n">
        <v>73</v>
      </c>
      <c r="B76" s="5" t="s">
        <v>478</v>
      </c>
      <c r="C76" s="4" t="s">
        <v>479</v>
      </c>
      <c r="D76" s="4" t="s">
        <v>480</v>
      </c>
      <c r="E76" s="4" t="s">
        <v>481</v>
      </c>
      <c r="F76" s="6" t="s">
        <v>482</v>
      </c>
      <c r="G76" s="6" t="s">
        <v>483</v>
      </c>
      <c r="H76" s="11" t="s">
        <v>25</v>
      </c>
      <c r="I76" s="6" t="s">
        <v>484</v>
      </c>
    </row>
    <row r="77" customFormat="false" ht="22.35" hidden="false" customHeight="false" outlineLevel="0" collapsed="false">
      <c r="A77" s="8" t="n">
        <v>74</v>
      </c>
      <c r="B77" s="9" t="s">
        <v>485</v>
      </c>
      <c r="C77" s="8" t="s">
        <v>486</v>
      </c>
      <c r="D77" s="8" t="s">
        <v>487</v>
      </c>
      <c r="E77" s="8" t="s">
        <v>488</v>
      </c>
      <c r="F77" s="10" t="s">
        <v>489</v>
      </c>
      <c r="G77" s="10" t="s">
        <v>490</v>
      </c>
      <c r="H77" s="11" t="s">
        <v>25</v>
      </c>
      <c r="I77" s="10" t="s">
        <v>491</v>
      </c>
    </row>
    <row r="78" customFormat="false" ht="32.8" hidden="false" customHeight="false" outlineLevel="0" collapsed="false">
      <c r="A78" s="4" t="n">
        <v>75</v>
      </c>
      <c r="B78" s="5" t="s">
        <v>492</v>
      </c>
      <c r="C78" s="4" t="s">
        <v>493</v>
      </c>
      <c r="D78" s="4" t="s">
        <v>494</v>
      </c>
      <c r="E78" s="4" t="s">
        <v>495</v>
      </c>
      <c r="F78" s="6" t="s">
        <v>496</v>
      </c>
      <c r="G78" s="6" t="s">
        <v>497</v>
      </c>
      <c r="H78" s="11" t="s">
        <v>25</v>
      </c>
      <c r="I78" s="6" t="s">
        <v>498</v>
      </c>
    </row>
    <row r="79" customFormat="false" ht="22.35" hidden="false" customHeight="false" outlineLevel="0" collapsed="false">
      <c r="A79" s="8" t="n">
        <v>76</v>
      </c>
      <c r="B79" s="9" t="s">
        <v>499</v>
      </c>
      <c r="C79" s="8" t="s">
        <v>500</v>
      </c>
      <c r="D79" s="8" t="s">
        <v>501</v>
      </c>
      <c r="E79" s="8" t="s">
        <v>502</v>
      </c>
      <c r="F79" s="10" t="s">
        <v>503</v>
      </c>
      <c r="G79" s="10" t="s">
        <v>504</v>
      </c>
      <c r="H79" s="12" t="s">
        <v>40</v>
      </c>
      <c r="I79" s="10" t="s">
        <v>505</v>
      </c>
    </row>
    <row r="80" customFormat="false" ht="32.8" hidden="false" customHeight="false" outlineLevel="0" collapsed="false">
      <c r="A80" s="4" t="n">
        <v>77</v>
      </c>
      <c r="B80" s="5" t="s">
        <v>506</v>
      </c>
      <c r="C80" s="4" t="s">
        <v>507</v>
      </c>
      <c r="D80" s="4" t="s">
        <v>508</v>
      </c>
      <c r="E80" s="4" t="s">
        <v>509</v>
      </c>
      <c r="F80" s="6" t="s">
        <v>510</v>
      </c>
      <c r="G80" s="6" t="s">
        <v>511</v>
      </c>
      <c r="H80" s="11" t="s">
        <v>25</v>
      </c>
      <c r="I80" s="6" t="s">
        <v>512</v>
      </c>
    </row>
    <row r="81" customFormat="false" ht="15" hidden="false" customHeight="false" outlineLevel="0" collapsed="false">
      <c r="A81" s="8" t="n">
        <v>78</v>
      </c>
      <c r="B81" s="9" t="s">
        <v>513</v>
      </c>
      <c r="C81" s="8" t="s">
        <v>500</v>
      </c>
      <c r="D81" s="8" t="s">
        <v>514</v>
      </c>
      <c r="E81" s="8" t="s">
        <v>515</v>
      </c>
      <c r="F81" s="10" t="s">
        <v>516</v>
      </c>
      <c r="G81" s="10" t="s">
        <v>517</v>
      </c>
      <c r="H81" s="12" t="s">
        <v>40</v>
      </c>
      <c r="I81" s="10" t="s">
        <v>133</v>
      </c>
    </row>
    <row r="82" customFormat="false" ht="15" hidden="false" customHeight="false" outlineLevel="0" collapsed="false">
      <c r="A82" s="4" t="n">
        <v>79</v>
      </c>
      <c r="B82" s="5" t="s">
        <v>518</v>
      </c>
      <c r="C82" s="4" t="s">
        <v>493</v>
      </c>
      <c r="D82" s="4" t="s">
        <v>519</v>
      </c>
      <c r="E82" s="4" t="s">
        <v>520</v>
      </c>
      <c r="F82" s="6" t="s">
        <v>521</v>
      </c>
      <c r="G82" s="6" t="s">
        <v>522</v>
      </c>
      <c r="H82" s="12" t="s">
        <v>40</v>
      </c>
      <c r="I82" s="6" t="s">
        <v>523</v>
      </c>
    </row>
    <row r="83" customFormat="false" ht="15" hidden="false" customHeight="false" outlineLevel="0" collapsed="false">
      <c r="A83" s="8" t="n">
        <v>80</v>
      </c>
      <c r="B83" s="9" t="s">
        <v>524</v>
      </c>
      <c r="C83" s="8" t="s">
        <v>472</v>
      </c>
      <c r="D83" s="8" t="s">
        <v>525</v>
      </c>
      <c r="E83" s="8" t="s">
        <v>526</v>
      </c>
      <c r="F83" s="10" t="s">
        <v>527</v>
      </c>
      <c r="G83" s="10" t="s">
        <v>528</v>
      </c>
      <c r="H83" s="12" t="s">
        <v>40</v>
      </c>
      <c r="I83" s="10" t="s">
        <v>133</v>
      </c>
    </row>
    <row r="84" customFormat="false" ht="32.8" hidden="false" customHeight="false" outlineLevel="0" collapsed="false">
      <c r="A84" s="4" t="n">
        <v>81</v>
      </c>
      <c r="B84" s="5" t="s">
        <v>529</v>
      </c>
      <c r="C84" s="4" t="s">
        <v>530</v>
      </c>
      <c r="D84" s="4" t="s">
        <v>531</v>
      </c>
      <c r="E84" s="4" t="s">
        <v>532</v>
      </c>
      <c r="F84" s="6" t="s">
        <v>533</v>
      </c>
      <c r="G84" s="6" t="s">
        <v>534</v>
      </c>
      <c r="H84" s="7" t="s">
        <v>17</v>
      </c>
      <c r="I84" s="6" t="s">
        <v>535</v>
      </c>
    </row>
    <row r="85" customFormat="false" ht="22.35" hidden="false" customHeight="false" outlineLevel="0" collapsed="false">
      <c r="A85" s="8" t="n">
        <v>82</v>
      </c>
      <c r="B85" s="9" t="s">
        <v>536</v>
      </c>
      <c r="C85" s="8" t="s">
        <v>537</v>
      </c>
      <c r="D85" s="8" t="s">
        <v>538</v>
      </c>
      <c r="E85" s="8" t="s">
        <v>539</v>
      </c>
      <c r="F85" s="10" t="s">
        <v>540</v>
      </c>
      <c r="G85" s="10" t="s">
        <v>541</v>
      </c>
      <c r="H85" s="11" t="s">
        <v>25</v>
      </c>
      <c r="I85" s="10" t="s">
        <v>542</v>
      </c>
    </row>
    <row r="86" customFormat="false" ht="22.35" hidden="false" customHeight="false" outlineLevel="0" collapsed="false">
      <c r="A86" s="4" t="n">
        <v>83</v>
      </c>
      <c r="B86" s="5" t="s">
        <v>543</v>
      </c>
      <c r="C86" s="4" t="s">
        <v>544</v>
      </c>
      <c r="D86" s="4" t="s">
        <v>545</v>
      </c>
      <c r="E86" s="4" t="s">
        <v>546</v>
      </c>
      <c r="F86" s="6" t="s">
        <v>547</v>
      </c>
      <c r="G86" s="6" t="s">
        <v>548</v>
      </c>
      <c r="H86" s="12" t="s">
        <v>40</v>
      </c>
      <c r="I86" s="6" t="s">
        <v>549</v>
      </c>
    </row>
    <row r="87" customFormat="false" ht="32.8" hidden="false" customHeight="false" outlineLevel="0" collapsed="false">
      <c r="A87" s="8" t="n">
        <v>84</v>
      </c>
      <c r="B87" s="9" t="s">
        <v>550</v>
      </c>
      <c r="C87" s="8" t="s">
        <v>551</v>
      </c>
      <c r="D87" s="8" t="s">
        <v>552</v>
      </c>
      <c r="E87" s="8" t="s">
        <v>553</v>
      </c>
      <c r="F87" s="10" t="s">
        <v>554</v>
      </c>
      <c r="G87" s="10" t="s">
        <v>555</v>
      </c>
      <c r="H87" s="11" t="s">
        <v>25</v>
      </c>
      <c r="I87" s="10" t="s">
        <v>556</v>
      </c>
    </row>
    <row r="88" customFormat="false" ht="22.35" hidden="false" customHeight="false" outlineLevel="0" collapsed="false">
      <c r="A88" s="4" t="n">
        <v>85</v>
      </c>
      <c r="B88" s="5" t="s">
        <v>557</v>
      </c>
      <c r="C88" s="4" t="s">
        <v>558</v>
      </c>
      <c r="D88" s="4" t="s">
        <v>559</v>
      </c>
      <c r="E88" s="4" t="s">
        <v>560</v>
      </c>
      <c r="F88" s="6" t="s">
        <v>561</v>
      </c>
      <c r="G88" s="6" t="s">
        <v>562</v>
      </c>
      <c r="H88" s="12" t="s">
        <v>40</v>
      </c>
      <c r="I88" s="6" t="s">
        <v>563</v>
      </c>
    </row>
    <row r="89" customFormat="false" ht="22.35" hidden="false" customHeight="false" outlineLevel="0" collapsed="false">
      <c r="A89" s="8" t="n">
        <v>86</v>
      </c>
      <c r="B89" s="9" t="s">
        <v>564</v>
      </c>
      <c r="C89" s="8" t="s">
        <v>551</v>
      </c>
      <c r="D89" s="8" t="s">
        <v>565</v>
      </c>
      <c r="E89" s="8" t="s">
        <v>566</v>
      </c>
      <c r="F89" s="10" t="s">
        <v>567</v>
      </c>
      <c r="G89" s="10" t="s">
        <v>555</v>
      </c>
      <c r="H89" s="11" t="s">
        <v>25</v>
      </c>
      <c r="I89" s="10" t="s">
        <v>568</v>
      </c>
    </row>
    <row r="90" customFormat="false" ht="22.35" hidden="false" customHeight="false" outlineLevel="0" collapsed="false">
      <c r="A90" s="4" t="n">
        <v>87</v>
      </c>
      <c r="B90" s="5" t="s">
        <v>569</v>
      </c>
      <c r="C90" s="4" t="s">
        <v>537</v>
      </c>
      <c r="D90" s="4" t="s">
        <v>570</v>
      </c>
      <c r="E90" s="4" t="s">
        <v>539</v>
      </c>
      <c r="F90" s="6" t="s">
        <v>571</v>
      </c>
      <c r="G90" s="6" t="s">
        <v>572</v>
      </c>
      <c r="H90" s="12" t="s">
        <v>40</v>
      </c>
      <c r="I90" s="6" t="s">
        <v>573</v>
      </c>
    </row>
    <row r="91" customFormat="false" ht="22.35" hidden="false" customHeight="false" outlineLevel="0" collapsed="false">
      <c r="A91" s="8" t="n">
        <v>88</v>
      </c>
      <c r="B91" s="9" t="s">
        <v>574</v>
      </c>
      <c r="C91" s="8" t="s">
        <v>575</v>
      </c>
      <c r="D91" s="8" t="s">
        <v>576</v>
      </c>
      <c r="E91" s="8" t="s">
        <v>577</v>
      </c>
      <c r="F91" s="10" t="s">
        <v>578</v>
      </c>
      <c r="G91" s="10" t="s">
        <v>579</v>
      </c>
      <c r="H91" s="11" t="s">
        <v>25</v>
      </c>
      <c r="I91" s="10" t="s">
        <v>580</v>
      </c>
    </row>
    <row r="92" customFormat="false" ht="22.35" hidden="false" customHeight="false" outlineLevel="0" collapsed="false">
      <c r="A92" s="4" t="n">
        <v>89</v>
      </c>
      <c r="B92" s="5" t="s">
        <v>581</v>
      </c>
      <c r="C92" s="4" t="s">
        <v>582</v>
      </c>
      <c r="D92" s="4" t="s">
        <v>583</v>
      </c>
      <c r="E92" s="4" t="s">
        <v>584</v>
      </c>
      <c r="F92" s="6" t="s">
        <v>585</v>
      </c>
      <c r="G92" s="6" t="s">
        <v>586</v>
      </c>
      <c r="H92" s="11" t="s">
        <v>25</v>
      </c>
      <c r="I92" s="6" t="s">
        <v>587</v>
      </c>
    </row>
    <row r="93" customFormat="false" ht="22.35" hidden="false" customHeight="false" outlineLevel="0" collapsed="false">
      <c r="A93" s="8" t="n">
        <v>90</v>
      </c>
      <c r="B93" s="9" t="s">
        <v>588</v>
      </c>
      <c r="C93" s="8" t="s">
        <v>589</v>
      </c>
      <c r="D93" s="8" t="s">
        <v>590</v>
      </c>
      <c r="E93" s="8" t="s">
        <v>591</v>
      </c>
      <c r="F93" s="10" t="s">
        <v>592</v>
      </c>
      <c r="G93" s="10" t="s">
        <v>593</v>
      </c>
      <c r="H93" s="11" t="s">
        <v>25</v>
      </c>
      <c r="I93" s="10" t="s">
        <v>594</v>
      </c>
    </row>
    <row r="94" customFormat="false" ht="32.8" hidden="false" customHeight="false" outlineLevel="0" collapsed="false">
      <c r="A94" s="4" t="n">
        <v>91</v>
      </c>
      <c r="B94" s="5" t="s">
        <v>595</v>
      </c>
      <c r="C94" s="4" t="s">
        <v>596</v>
      </c>
      <c r="D94" s="4" t="s">
        <v>597</v>
      </c>
      <c r="E94" s="4" t="s">
        <v>598</v>
      </c>
      <c r="F94" s="6" t="s">
        <v>599</v>
      </c>
      <c r="G94" s="6" t="s">
        <v>600</v>
      </c>
      <c r="H94" s="7" t="s">
        <v>17</v>
      </c>
      <c r="I94" s="6" t="s">
        <v>601</v>
      </c>
    </row>
    <row r="95" customFormat="false" ht="32.8" hidden="false" customHeight="false" outlineLevel="0" collapsed="false">
      <c r="A95" s="8" t="n">
        <v>92</v>
      </c>
      <c r="B95" s="9" t="s">
        <v>602</v>
      </c>
      <c r="C95" s="8" t="s">
        <v>603</v>
      </c>
      <c r="D95" s="8" t="s">
        <v>604</v>
      </c>
      <c r="E95" s="8" t="s">
        <v>605</v>
      </c>
      <c r="F95" s="10" t="s">
        <v>606</v>
      </c>
      <c r="G95" s="10" t="s">
        <v>607</v>
      </c>
      <c r="H95" s="7" t="s">
        <v>17</v>
      </c>
      <c r="I95" s="10" t="s">
        <v>608</v>
      </c>
    </row>
    <row r="96" customFormat="false" ht="22.35" hidden="false" customHeight="false" outlineLevel="0" collapsed="false">
      <c r="A96" s="4" t="n">
        <v>93</v>
      </c>
      <c r="B96" s="5" t="s">
        <v>609</v>
      </c>
      <c r="C96" s="4" t="s">
        <v>610</v>
      </c>
      <c r="D96" s="4" t="s">
        <v>611</v>
      </c>
      <c r="E96" s="4" t="s">
        <v>612</v>
      </c>
      <c r="F96" s="6" t="s">
        <v>613</v>
      </c>
      <c r="G96" s="6" t="s">
        <v>614</v>
      </c>
      <c r="H96" s="12" t="s">
        <v>40</v>
      </c>
      <c r="I96" s="6" t="s">
        <v>615</v>
      </c>
    </row>
    <row r="97" customFormat="false" ht="32.8" hidden="false" customHeight="false" outlineLevel="0" collapsed="false">
      <c r="A97" s="8" t="n">
        <v>94</v>
      </c>
      <c r="B97" s="9" t="s">
        <v>616</v>
      </c>
      <c r="C97" s="8" t="s">
        <v>617</v>
      </c>
      <c r="D97" s="8" t="s">
        <v>618</v>
      </c>
      <c r="E97" s="8" t="s">
        <v>619</v>
      </c>
      <c r="F97" s="10" t="s">
        <v>620</v>
      </c>
      <c r="G97" s="10" t="s">
        <v>621</v>
      </c>
      <c r="H97" s="12" t="s">
        <v>40</v>
      </c>
      <c r="I97" s="10" t="s">
        <v>622</v>
      </c>
    </row>
    <row r="98" customFormat="false" ht="22.35" hidden="false" customHeight="false" outlineLevel="0" collapsed="false">
      <c r="A98" s="4" t="n">
        <v>95</v>
      </c>
      <c r="B98" s="5" t="s">
        <v>623</v>
      </c>
      <c r="C98" s="4" t="s">
        <v>575</v>
      </c>
      <c r="D98" s="4" t="s">
        <v>624</v>
      </c>
      <c r="E98" s="4" t="s">
        <v>625</v>
      </c>
      <c r="F98" s="6" t="s">
        <v>626</v>
      </c>
      <c r="G98" s="6" t="s">
        <v>627</v>
      </c>
      <c r="H98" s="11" t="s">
        <v>25</v>
      </c>
      <c r="I98" s="6" t="s">
        <v>628</v>
      </c>
    </row>
    <row r="99" customFormat="false" ht="22.35" hidden="false" customHeight="false" outlineLevel="0" collapsed="false">
      <c r="A99" s="8" t="n">
        <v>96</v>
      </c>
      <c r="B99" s="9" t="s">
        <v>629</v>
      </c>
      <c r="C99" s="8" t="s">
        <v>332</v>
      </c>
      <c r="D99" s="8" t="s">
        <v>630</v>
      </c>
      <c r="E99" s="8" t="s">
        <v>631</v>
      </c>
      <c r="F99" s="10" t="s">
        <v>632</v>
      </c>
      <c r="G99" s="10" t="s">
        <v>633</v>
      </c>
      <c r="H99" s="12" t="s">
        <v>40</v>
      </c>
      <c r="I99" s="10" t="s">
        <v>634</v>
      </c>
    </row>
    <row r="100" customFormat="false" ht="15" hidden="false" customHeight="false" outlineLevel="0" collapsed="false">
      <c r="A100" s="4" t="n">
        <v>97</v>
      </c>
      <c r="B100" s="5" t="s">
        <v>635</v>
      </c>
      <c r="C100" s="4" t="s">
        <v>636</v>
      </c>
      <c r="D100" s="4" t="s">
        <v>637</v>
      </c>
      <c r="E100" s="4" t="s">
        <v>638</v>
      </c>
      <c r="F100" s="6" t="s">
        <v>639</v>
      </c>
      <c r="G100" s="6" t="s">
        <v>640</v>
      </c>
      <c r="H100" s="12" t="s">
        <v>40</v>
      </c>
      <c r="I100" s="6" t="s">
        <v>133</v>
      </c>
    </row>
    <row r="101" customFormat="false" ht="15" hidden="false" customHeight="false" outlineLevel="0" collapsed="false">
      <c r="A101" s="8" t="n">
        <v>98</v>
      </c>
      <c r="B101" s="9" t="s">
        <v>641</v>
      </c>
      <c r="C101" s="8" t="s">
        <v>642</v>
      </c>
      <c r="D101" s="8" t="s">
        <v>643</v>
      </c>
      <c r="E101" s="8" t="s">
        <v>644</v>
      </c>
      <c r="F101" s="10" t="s">
        <v>645</v>
      </c>
      <c r="G101" s="10" t="s">
        <v>646</v>
      </c>
      <c r="H101" s="12" t="s">
        <v>40</v>
      </c>
      <c r="I101" s="10" t="s">
        <v>647</v>
      </c>
    </row>
    <row r="102" customFormat="false" ht="22.35" hidden="false" customHeight="false" outlineLevel="0" collapsed="false">
      <c r="A102" s="4" t="n">
        <v>99</v>
      </c>
      <c r="B102" s="5" t="s">
        <v>648</v>
      </c>
      <c r="C102" s="4" t="s">
        <v>649</v>
      </c>
      <c r="D102" s="4" t="s">
        <v>650</v>
      </c>
      <c r="E102" s="4" t="s">
        <v>651</v>
      </c>
      <c r="F102" s="6" t="s">
        <v>652</v>
      </c>
      <c r="G102" s="6" t="s">
        <v>653</v>
      </c>
      <c r="H102" s="12" t="s">
        <v>40</v>
      </c>
      <c r="I102" s="6" t="s">
        <v>133</v>
      </c>
    </row>
  </sheetData>
  <autoFilter ref="A3:I102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56"/>
    <col collapsed="false" customWidth="true" hidden="false" outlineLevel="0" max="5" min="4" style="0" width="34"/>
  </cols>
  <sheetData>
    <row r="1" customFormat="false" ht="25.5" hidden="false" customHeight="true" outlineLevel="0" collapsed="false">
      <c r="A1" s="1" t="s">
        <v>654</v>
      </c>
      <c r="B1" s="1"/>
      <c r="C1" s="1"/>
      <c r="D1" s="1"/>
      <c r="E1" s="1"/>
    </row>
    <row r="2" customFormat="false" ht="30" hidden="false" customHeight="true" outlineLevel="0" collapsed="false">
      <c r="A2" s="3" t="s">
        <v>655</v>
      </c>
      <c r="B2" s="3" t="s">
        <v>656</v>
      </c>
      <c r="C2" s="3" t="s">
        <v>657</v>
      </c>
      <c r="D2" s="3" t="s">
        <v>658</v>
      </c>
      <c r="E2" s="3" t="s">
        <v>659</v>
      </c>
    </row>
    <row r="3" customFormat="false" ht="73.5" hidden="false" customHeight="true" outlineLevel="0" collapsed="false">
      <c r="A3" s="13" t="s">
        <v>660</v>
      </c>
      <c r="B3" s="6" t="s">
        <v>661</v>
      </c>
      <c r="C3" s="6" t="s">
        <v>662</v>
      </c>
      <c r="D3" s="6" t="s">
        <v>663</v>
      </c>
      <c r="E3" s="6" t="s">
        <v>664</v>
      </c>
    </row>
    <row r="4" customFormat="false" ht="73.5" hidden="false" customHeight="true" outlineLevel="0" collapsed="false">
      <c r="A4" s="14" t="s">
        <v>665</v>
      </c>
      <c r="B4" s="10" t="s">
        <v>666</v>
      </c>
      <c r="C4" s="10" t="s">
        <v>667</v>
      </c>
      <c r="D4" s="10" t="s">
        <v>668</v>
      </c>
      <c r="E4" s="10" t="s">
        <v>669</v>
      </c>
    </row>
    <row r="5" customFormat="false" ht="73.5" hidden="false" customHeight="true" outlineLevel="0" collapsed="false">
      <c r="A5" s="13" t="s">
        <v>670</v>
      </c>
      <c r="B5" s="6" t="s">
        <v>671</v>
      </c>
      <c r="C5" s="6" t="s">
        <v>672</v>
      </c>
      <c r="D5" s="6" t="s">
        <v>673</v>
      </c>
      <c r="E5" s="6" t="s">
        <v>674</v>
      </c>
    </row>
    <row r="6" customFormat="false" ht="73.5" hidden="false" customHeight="true" outlineLevel="0" collapsed="false">
      <c r="A6" s="14" t="s">
        <v>675</v>
      </c>
      <c r="B6" s="10" t="s">
        <v>676</v>
      </c>
      <c r="C6" s="10" t="s">
        <v>677</v>
      </c>
      <c r="D6" s="10" t="s">
        <v>678</v>
      </c>
      <c r="E6" s="10" t="s">
        <v>679</v>
      </c>
    </row>
    <row r="7" customFormat="false" ht="73.5" hidden="false" customHeight="true" outlineLevel="0" collapsed="false">
      <c r="A7" s="13" t="s">
        <v>680</v>
      </c>
      <c r="B7" s="6" t="s">
        <v>681</v>
      </c>
      <c r="C7" s="6" t="s">
        <v>682</v>
      </c>
      <c r="D7" s="6" t="s">
        <v>683</v>
      </c>
      <c r="E7" s="6" t="s">
        <v>684</v>
      </c>
    </row>
    <row r="8" customFormat="false" ht="73.5" hidden="false" customHeight="true" outlineLevel="0" collapsed="false">
      <c r="A8" s="14" t="s">
        <v>685</v>
      </c>
      <c r="B8" s="10" t="s">
        <v>686</v>
      </c>
      <c r="C8" s="10" t="s">
        <v>687</v>
      </c>
      <c r="D8" s="10" t="s">
        <v>688</v>
      </c>
      <c r="E8" s="10" t="s">
        <v>689</v>
      </c>
    </row>
    <row r="9" customFormat="false" ht="73.5" hidden="false" customHeight="true" outlineLevel="0" collapsed="false">
      <c r="A9" s="13" t="s">
        <v>690</v>
      </c>
      <c r="B9" s="6" t="s">
        <v>691</v>
      </c>
      <c r="C9" s="6" t="s">
        <v>692</v>
      </c>
      <c r="D9" s="6" t="s">
        <v>693</v>
      </c>
      <c r="E9" s="6" t="s">
        <v>694</v>
      </c>
    </row>
    <row r="10" customFormat="false" ht="73.5" hidden="false" customHeight="true" outlineLevel="0" collapsed="false">
      <c r="A10" s="14" t="s">
        <v>695</v>
      </c>
      <c r="B10" s="10" t="s">
        <v>696</v>
      </c>
      <c r="C10" s="10" t="s">
        <v>697</v>
      </c>
      <c r="D10" s="10" t="s">
        <v>698</v>
      </c>
      <c r="E10" s="10" t="s">
        <v>699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30"/>
  </cols>
  <sheetData>
    <row r="1" customFormat="false" ht="25.5" hidden="false" customHeight="true" outlineLevel="0" collapsed="false">
      <c r="A1" s="1" t="s">
        <v>700</v>
      </c>
      <c r="B1" s="1"/>
      <c r="C1" s="1"/>
      <c r="D1" s="1"/>
    </row>
    <row r="3" customFormat="false" ht="19.5" hidden="false" customHeight="true" outlineLevel="0" collapsed="false">
      <c r="A3" s="15" t="s">
        <v>701</v>
      </c>
      <c r="B3" s="15"/>
      <c r="C3" s="15"/>
      <c r="D3" s="15"/>
    </row>
    <row r="4" customFormat="false" ht="39.75" hidden="false" customHeight="true" outlineLevel="0" collapsed="false">
      <c r="A4" s="16" t="s">
        <v>17</v>
      </c>
      <c r="B4" s="6" t="s">
        <v>702</v>
      </c>
      <c r="C4" s="6"/>
      <c r="D4" s="6"/>
    </row>
    <row r="5" customFormat="false" ht="39.75" hidden="false" customHeight="true" outlineLevel="0" collapsed="false">
      <c r="A5" s="17" t="s">
        <v>25</v>
      </c>
      <c r="B5" s="6" t="s">
        <v>703</v>
      </c>
      <c r="C5" s="6"/>
      <c r="D5" s="6"/>
    </row>
    <row r="6" customFormat="false" ht="39.75" hidden="false" customHeight="true" outlineLevel="0" collapsed="false">
      <c r="A6" s="18" t="s">
        <v>40</v>
      </c>
      <c r="B6" s="6" t="s">
        <v>704</v>
      </c>
      <c r="C6" s="6"/>
      <c r="D6" s="6"/>
    </row>
    <row r="8" customFormat="false" ht="19.5" hidden="false" customHeight="true" outlineLevel="0" collapsed="false">
      <c r="A8" s="15" t="s">
        <v>705</v>
      </c>
      <c r="B8" s="15"/>
      <c r="C8" s="15"/>
      <c r="D8" s="15"/>
    </row>
    <row r="9" customFormat="false" ht="15" hidden="false" customHeight="false" outlineLevel="0" collapsed="false">
      <c r="A9" s="19" t="s">
        <v>706</v>
      </c>
      <c r="B9" s="20" t="n">
        <f aca="false">COUNTA('Prospect Rationale'!B4:B102)</f>
        <v>99</v>
      </c>
    </row>
    <row r="10" customFormat="false" ht="15" hidden="false" customHeight="false" outlineLevel="0" collapsed="false">
      <c r="A10" s="21" t="s">
        <v>707</v>
      </c>
      <c r="B10" s="20" t="n">
        <f aca="false">COUNTIF('Prospect Rationale'!H4:H102,"High")</f>
        <v>15</v>
      </c>
    </row>
    <row r="11" customFormat="false" ht="15" hidden="false" customHeight="false" outlineLevel="0" collapsed="false">
      <c r="A11" s="22" t="s">
        <v>708</v>
      </c>
      <c r="B11" s="20" t="n">
        <f aca="false">COUNTIF('Prospect Rationale'!H4:H102,"Medium")</f>
        <v>40</v>
      </c>
    </row>
    <row r="12" customFormat="false" ht="15" hidden="false" customHeight="false" outlineLevel="0" collapsed="false">
      <c r="A12" s="23" t="s">
        <v>709</v>
      </c>
      <c r="B12" s="20" t="n">
        <f aca="false">COUNTIF('Prospect Rationale'!H4:H102,"Low")</f>
        <v>44</v>
      </c>
    </row>
    <row r="14" customFormat="false" ht="19.5" hidden="false" customHeight="true" outlineLevel="0" collapsed="false">
      <c r="A14" s="15" t="s">
        <v>710</v>
      </c>
      <c r="B14" s="15"/>
      <c r="C14" s="15"/>
      <c r="D14" s="15"/>
    </row>
    <row r="15" customFormat="false" ht="45.75" hidden="false" customHeight="true" outlineLevel="0" collapsed="false">
      <c r="A15" s="5" t="s">
        <v>711</v>
      </c>
      <c r="B15" s="6" t="s">
        <v>712</v>
      </c>
      <c r="C15" s="6"/>
      <c r="D15" s="6"/>
    </row>
    <row r="16" customFormat="false" ht="45.75" hidden="false" customHeight="true" outlineLevel="0" collapsed="false">
      <c r="A16" s="5" t="s">
        <v>713</v>
      </c>
      <c r="B16" s="6" t="s">
        <v>714</v>
      </c>
      <c r="C16" s="6"/>
      <c r="D16" s="6"/>
    </row>
    <row r="17" customFormat="false" ht="45.75" hidden="false" customHeight="true" outlineLevel="0" collapsed="false">
      <c r="A17" s="5" t="s">
        <v>715</v>
      </c>
      <c r="B17" s="6" t="s">
        <v>716</v>
      </c>
      <c r="C17" s="6"/>
      <c r="D17" s="6"/>
    </row>
    <row r="18" customFormat="false" ht="45.75" hidden="false" customHeight="true" outlineLevel="0" collapsed="false">
      <c r="A18" s="5" t="s">
        <v>717</v>
      </c>
      <c r="B18" s="6" t="s">
        <v>718</v>
      </c>
      <c r="C18" s="6"/>
      <c r="D18" s="6"/>
    </row>
    <row r="19" customFormat="false" ht="45.75" hidden="false" customHeight="true" outlineLevel="0" collapsed="false">
      <c r="A19" s="5" t="s">
        <v>719</v>
      </c>
      <c r="B19" s="6" t="s">
        <v>720</v>
      </c>
      <c r="C19" s="6"/>
      <c r="D19" s="6"/>
    </row>
    <row r="20" customFormat="false" ht="45.75" hidden="false" customHeight="true" outlineLevel="0" collapsed="false">
      <c r="A20" s="5" t="s">
        <v>721</v>
      </c>
      <c r="B20" s="6" t="s">
        <v>722</v>
      </c>
      <c r="C20" s="6"/>
      <c r="D20" s="6"/>
    </row>
    <row r="21" customFormat="false" ht="45.75" hidden="false" customHeight="true" outlineLevel="0" collapsed="false">
      <c r="A21" s="5" t="s">
        <v>723</v>
      </c>
      <c r="B21" s="6" t="s">
        <v>724</v>
      </c>
      <c r="C21" s="6"/>
      <c r="D21" s="6"/>
    </row>
    <row r="23" customFormat="false" ht="19.5" hidden="false" customHeight="true" outlineLevel="0" collapsed="false">
      <c r="A23" s="15" t="s">
        <v>725</v>
      </c>
      <c r="B23" s="15"/>
      <c r="C23" s="15"/>
      <c r="D23" s="15"/>
    </row>
    <row r="24" customFormat="false" ht="30" hidden="false" customHeight="true" outlineLevel="0" collapsed="false">
      <c r="A24" s="5" t="s">
        <v>726</v>
      </c>
      <c r="B24" s="6" t="s">
        <v>727</v>
      </c>
      <c r="C24" s="6"/>
      <c r="D24" s="6"/>
    </row>
    <row r="25" customFormat="false" ht="30" hidden="false" customHeight="true" outlineLevel="0" collapsed="false">
      <c r="A25" s="5" t="s">
        <v>728</v>
      </c>
      <c r="B25" s="6" t="s">
        <v>729</v>
      </c>
      <c r="C25" s="6"/>
      <c r="D25" s="6"/>
    </row>
    <row r="26" customFormat="false" ht="30" hidden="false" customHeight="true" outlineLevel="0" collapsed="false">
      <c r="A26" s="5" t="s">
        <v>730</v>
      </c>
      <c r="B26" s="6" t="s">
        <v>731</v>
      </c>
      <c r="C26" s="6"/>
      <c r="D26" s="6"/>
    </row>
    <row r="27" customFormat="false" ht="30" hidden="false" customHeight="true" outlineLevel="0" collapsed="false">
      <c r="A27" s="5" t="s">
        <v>732</v>
      </c>
      <c r="B27" s="6" t="s">
        <v>733</v>
      </c>
      <c r="C27" s="6"/>
      <c r="D27" s="6"/>
    </row>
  </sheetData>
  <mergeCells count="19">
    <mergeCell ref="A1:D1"/>
    <mergeCell ref="A3:D3"/>
    <mergeCell ref="B4:D4"/>
    <mergeCell ref="B5:D5"/>
    <mergeCell ref="B6:D6"/>
    <mergeCell ref="A8:D8"/>
    <mergeCell ref="A14:D14"/>
    <mergeCell ref="B15:D15"/>
    <mergeCell ref="B16:D16"/>
    <mergeCell ref="B17:D17"/>
    <mergeCell ref="B18:D18"/>
    <mergeCell ref="B19:D19"/>
    <mergeCell ref="B20:D20"/>
    <mergeCell ref="B21:D21"/>
    <mergeCell ref="A23:D23"/>
    <mergeCell ref="B24:D24"/>
    <mergeCell ref="B25:D25"/>
    <mergeCell ref="B26:D26"/>
    <mergeCell ref="B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2026-07-08T12:49:08Z</dcterms:created>
  <dc:creator>openpyxl</dc:creator>
  <dc:description/>
  <dc:language>en-US</dc:language>
  <cp:lastModifiedBy/>
  <dcterms:modified xsi:type="dcterms:W3CDTF">2026-07-08T12:49:08Z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